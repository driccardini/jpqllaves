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40" sheetId="1" r:id="rId4"/>
    <sheet state="visible" name="Base D40" sheetId="2" r:id="rId5"/>
  </sheets>
  <definedNames>
    <definedName name="_xlfn.IFERROR">#NAME?</definedName>
  </definedNames>
  <calcPr/>
  <extLst>
    <ext uri="GoogleSheetsCustomDataVersion2">
      <go:sheetsCustomData xmlns:go="http://customooxmlschemas.google.com/" r:id="rId6" roundtripDataChecksum="z5XaM1hP2utmb48aq79WVqy9C3G9cBXYt/9QuI3KanY="/>
    </ext>
  </extLst>
</workbook>
</file>

<file path=xl/sharedStrings.xml><?xml version="1.0" encoding="utf-8"?>
<sst xmlns="http://schemas.openxmlformats.org/spreadsheetml/2006/main" count="331" uniqueCount="270">
  <si>
    <t>CATEGORÍA: DAMAS 5TA</t>
  </si>
  <si>
    <t>1° A</t>
  </si>
  <si>
    <t>2° J</t>
  </si>
  <si>
    <t>2° K</t>
  </si>
  <si>
    <t>1° I</t>
  </si>
  <si>
    <t>2° C</t>
  </si>
  <si>
    <t>2° B</t>
  </si>
  <si>
    <t>1° H</t>
  </si>
  <si>
    <t>1° E</t>
  </si>
  <si>
    <t>2° F</t>
  </si>
  <si>
    <t>1° L</t>
  </si>
  <si>
    <t>1° M</t>
  </si>
  <si>
    <t>2° G</t>
  </si>
  <si>
    <t>1° D</t>
  </si>
  <si>
    <t>1° C</t>
  </si>
  <si>
    <t>2° H</t>
  </si>
  <si>
    <t xml:space="preserve"> </t>
  </si>
  <si>
    <t>2° M</t>
  </si>
  <si>
    <t>1° K</t>
  </si>
  <si>
    <t>2° E</t>
  </si>
  <si>
    <t>3° A</t>
  </si>
  <si>
    <t>1° F</t>
  </si>
  <si>
    <t>1° G</t>
  </si>
  <si>
    <t>2° A</t>
  </si>
  <si>
    <t>2° D</t>
  </si>
  <si>
    <t>1° J</t>
  </si>
  <si>
    <t>2° L</t>
  </si>
  <si>
    <t>2° I</t>
  </si>
  <si>
    <t>1° B</t>
  </si>
  <si>
    <t>Nº PARTIDO</t>
  </si>
  <si>
    <t>DIA - HORA</t>
  </si>
  <si>
    <t>COMPLEJO</t>
  </si>
  <si>
    <t>LA MECA</t>
  </si>
  <si>
    <t>PUESTO X ZONA</t>
  </si>
  <si>
    <t xml:space="preserve">APELLIDOS JUGADOR </t>
  </si>
  <si>
    <t>LIBERTINI</t>
  </si>
  <si>
    <t>L. BENITEZ</t>
  </si>
  <si>
    <t>MENDEZ</t>
  </si>
  <si>
    <t>SOSA</t>
  </si>
  <si>
    <t>FREZZA</t>
  </si>
  <si>
    <t>TOUCEDA</t>
  </si>
  <si>
    <t>LOREFICE</t>
  </si>
  <si>
    <t>REYNOSO</t>
  </si>
  <si>
    <t>CONCA</t>
  </si>
  <si>
    <t>FEJMI</t>
  </si>
  <si>
    <t>IRRAZABAL</t>
  </si>
  <si>
    <t>ROMERO</t>
  </si>
  <si>
    <t>SISTERNA</t>
  </si>
  <si>
    <t>CORONEL</t>
  </si>
  <si>
    <t>SIMONETTI</t>
  </si>
  <si>
    <t>SAUREL</t>
  </si>
  <si>
    <t>SANDOVAL</t>
  </si>
  <si>
    <t>SILVA</t>
  </si>
  <si>
    <t>I. BRAVO</t>
  </si>
  <si>
    <t>G. PRADO</t>
  </si>
  <si>
    <t>CASTILLO</t>
  </si>
  <si>
    <t>ESPINDOLA</t>
  </si>
  <si>
    <t>MAZZEI</t>
  </si>
  <si>
    <t>MANDILE</t>
  </si>
  <si>
    <t>GALLEGUILLO</t>
  </si>
  <si>
    <t>L. BRAVO</t>
  </si>
  <si>
    <t>GAREIS</t>
  </si>
  <si>
    <t>SZYLKO</t>
  </si>
  <si>
    <t>FURLANI</t>
  </si>
  <si>
    <t>DE JESUS REY</t>
  </si>
  <si>
    <t>PRIETO</t>
  </si>
  <si>
    <t>DAQUILA</t>
  </si>
  <si>
    <t>RICCIO</t>
  </si>
  <si>
    <t>ITURRIZA</t>
  </si>
  <si>
    <t>ROSSETO</t>
  </si>
  <si>
    <t>PECCI</t>
  </si>
  <si>
    <t>MAYA</t>
  </si>
  <si>
    <t>LOBOS</t>
  </si>
  <si>
    <t>C. ZAMORANO</t>
  </si>
  <si>
    <t>N. MURATORE</t>
  </si>
  <si>
    <t>ISOLDI</t>
  </si>
  <si>
    <t>T. PEREZ</t>
  </si>
  <si>
    <t>DI LORETO</t>
  </si>
  <si>
    <t>ESTRELLA</t>
  </si>
  <si>
    <t>J. ALVAREZ</t>
  </si>
  <si>
    <t>L. CARDINALI</t>
  </si>
  <si>
    <t>SACARELO</t>
  </si>
  <si>
    <t>BURZAN</t>
  </si>
  <si>
    <t>BENITEZ</t>
  </si>
  <si>
    <t>MALDONADO</t>
  </si>
  <si>
    <t>M. GONZALEZ</t>
  </si>
  <si>
    <t>REGUEIRA</t>
  </si>
  <si>
    <t>F. ROMERO</t>
  </si>
  <si>
    <t>L. GONZALEZ</t>
  </si>
  <si>
    <t>LA BARRA</t>
  </si>
  <si>
    <t>VIDA VIVA</t>
  </si>
  <si>
    <t>EL PORTAL</t>
  </si>
  <si>
    <t>DIA-HORA</t>
  </si>
  <si>
    <t>VIERNES 09:15 hs</t>
  </si>
  <si>
    <t>VIERNES 09:30 hs</t>
  </si>
  <si>
    <t>VIERNES 09:45 hs</t>
  </si>
  <si>
    <t>VIERNES 10:00 hs</t>
  </si>
  <si>
    <t>VIERNES 10:15 hs</t>
  </si>
  <si>
    <t>VIERNES 10:30 hs</t>
  </si>
  <si>
    <t>VIERNES 10:45 hs</t>
  </si>
  <si>
    <t>VIERNES 11:00 hs</t>
  </si>
  <si>
    <t>VIERNES 11:15 hs</t>
  </si>
  <si>
    <t>VIERNES 11:30 hs</t>
  </si>
  <si>
    <t>VIERNES 11:45 hs</t>
  </si>
  <si>
    <t>VIERNES 12:00 hs</t>
  </si>
  <si>
    <t>VIERNES 12:15 hs</t>
  </si>
  <si>
    <t>VIERNES 12:30 hs</t>
  </si>
  <si>
    <t>VIERNES 12:45 hs</t>
  </si>
  <si>
    <t>VIERNES 13:00 hs</t>
  </si>
  <si>
    <t>VIERNES 13:15 hs</t>
  </si>
  <si>
    <t>VIERNES 13:30 hs</t>
  </si>
  <si>
    <t>VIERNES 13:45 hs</t>
  </si>
  <si>
    <t>VIERNES 14:00 hs</t>
  </si>
  <si>
    <t>VIERNES 14:15 hs</t>
  </si>
  <si>
    <t>VIERNES 14:30 hs</t>
  </si>
  <si>
    <t>VIERNES 14:45 hs</t>
  </si>
  <si>
    <t>VIERNES 15:00 hs</t>
  </si>
  <si>
    <t>VIERNES 15:15 hs</t>
  </si>
  <si>
    <t>VIERNES 15:30 hs</t>
  </si>
  <si>
    <t>VIERNES 15:45 hs</t>
  </si>
  <si>
    <t>VIERNES 16:00 hs</t>
  </si>
  <si>
    <t>VIERNES 16:15 hs</t>
  </si>
  <si>
    <t>VIERNES 16:30 hs</t>
  </si>
  <si>
    <t>VIERNES 16:45 hs</t>
  </si>
  <si>
    <t>VIERNES 17:00 hs</t>
  </si>
  <si>
    <t>VIERNES 17:15 hs</t>
  </si>
  <si>
    <t>VIERNES 17:30 hs</t>
  </si>
  <si>
    <t>VIERNES 17:45 hs</t>
  </si>
  <si>
    <t>VIERNES 18:00 hs</t>
  </si>
  <si>
    <t>VIERNES 18:15 hs</t>
  </si>
  <si>
    <t>VIERNES 18:30 hs</t>
  </si>
  <si>
    <t>VIERNES 18:45 hs</t>
  </si>
  <si>
    <t>VIERNES 19:00 hs</t>
  </si>
  <si>
    <t>VIERNES 19:15 hs</t>
  </si>
  <si>
    <t>VIERNES 19:30 hs</t>
  </si>
  <si>
    <t>VIERNES 19:45 hs</t>
  </si>
  <si>
    <t>VIERNES 20:00 hs</t>
  </si>
  <si>
    <t>VIERNES 20:15 hs</t>
  </si>
  <si>
    <t>VIERNES 20:30 hs</t>
  </si>
  <si>
    <t>VIERNES 20:45 hs</t>
  </si>
  <si>
    <t>VIERNES 21:00 hs</t>
  </si>
  <si>
    <t>VIERNES 21:15 hs</t>
  </si>
  <si>
    <t>VIERNES 21:30 hs</t>
  </si>
  <si>
    <t>VIERNES 21:45 hs</t>
  </si>
  <si>
    <t>VIERNES 22:00 hs</t>
  </si>
  <si>
    <t>VIERNES 22:15 hs</t>
  </si>
  <si>
    <t>VIERNES 22:30 hs</t>
  </si>
  <si>
    <t>VIERNES 22:45 hs</t>
  </si>
  <si>
    <t>VIERNES 23:00 hs</t>
  </si>
  <si>
    <t>VIERNES 23:15 hs</t>
  </si>
  <si>
    <t>VIERNES 23:30 hs</t>
  </si>
  <si>
    <t>VIERNES 23:45 hs</t>
  </si>
  <si>
    <t>SÁBADO 09:15 hs</t>
  </si>
  <si>
    <t>SÁBADO 09:30 hs</t>
  </si>
  <si>
    <t>SÁBADO 09:45 hs</t>
  </si>
  <si>
    <t>SÁBADO 10:00 hs</t>
  </si>
  <si>
    <t>SÁBADO 10:15 hs</t>
  </si>
  <si>
    <t>SÁBADO 10:30 hs</t>
  </si>
  <si>
    <t>SÁBADO 10:45 hs</t>
  </si>
  <si>
    <t>SÁBADO 11:00 hs</t>
  </si>
  <si>
    <t>SÁBADO 11:15 hs</t>
  </si>
  <si>
    <t>SÁBADO 11:30 hs</t>
  </si>
  <si>
    <t>SÁBADO 11:45 hs</t>
  </si>
  <si>
    <t>SÁBADO 12:00 hs</t>
  </si>
  <si>
    <t>SÁBADO 12:15 hs</t>
  </si>
  <si>
    <t>SÁBADO 12:30 hs</t>
  </si>
  <si>
    <t>SÁBADO 12:45 hs</t>
  </si>
  <si>
    <t>SÁBADO 13:00 hs</t>
  </si>
  <si>
    <t>SÁBADO 13:15 hs</t>
  </si>
  <si>
    <t>SÁBADO 13:30 hs</t>
  </si>
  <si>
    <t>SÁBADO 13:45 hs</t>
  </si>
  <si>
    <t>SÁBADO 14:00 hs</t>
  </si>
  <si>
    <t>SÁBADO 14:15 hs</t>
  </si>
  <si>
    <t>SÁBADO 14:30 hs</t>
  </si>
  <si>
    <t>SÁBADO 14:45 hs</t>
  </si>
  <si>
    <t>SÁBADO 15:00 hs</t>
  </si>
  <si>
    <t>SÁBADO 15:15 hs</t>
  </si>
  <si>
    <t>SÁBADO 15:30 hs</t>
  </si>
  <si>
    <t>SÁBADO 15:45 hs</t>
  </si>
  <si>
    <t>SÁBADO 16:00 hs</t>
  </si>
  <si>
    <t>SÁBADO 16:15 hs</t>
  </si>
  <si>
    <t>SÁBADO 16:30 hs</t>
  </si>
  <si>
    <t>SÁBADO 16:45 hs</t>
  </si>
  <si>
    <t>SÁBADO 17:00 hs</t>
  </si>
  <si>
    <t>SÁBADO 17:15 hs</t>
  </si>
  <si>
    <t>SÁBADO 17:30 hs</t>
  </si>
  <si>
    <t>SÁBADO 17:45 hs</t>
  </si>
  <si>
    <t>SÁBADO 18:00 hs</t>
  </si>
  <si>
    <t>SÁBADO 18:15 hs</t>
  </si>
  <si>
    <t>SÁBADO 18:30 hs</t>
  </si>
  <si>
    <t>SÁBADO 18:45 hs</t>
  </si>
  <si>
    <t>SÁBADO 19:00 hs</t>
  </si>
  <si>
    <t>SÁBADO 19:15 hs</t>
  </si>
  <si>
    <t>SÁBADO 19:30 hs</t>
  </si>
  <si>
    <t>SÁBADO 19:45 hs</t>
  </si>
  <si>
    <t>SÁBADO 20:00 hs</t>
  </si>
  <si>
    <t>SÁBADO 20:15 hs</t>
  </si>
  <si>
    <t>SÁBADO 20:30 hs</t>
  </si>
  <si>
    <t>SÁBADO 20:45 hs</t>
  </si>
  <si>
    <t>SÁBADO 21:00 hs</t>
  </si>
  <si>
    <t>SÁBADO 21:15 hs</t>
  </si>
  <si>
    <t>SÁBADO 21:30 hs</t>
  </si>
  <si>
    <t>SÁBADO 21:45 hs</t>
  </si>
  <si>
    <t>SÁBADO 22:00 hs</t>
  </si>
  <si>
    <t>SÁBADO 22:15 hs</t>
  </si>
  <si>
    <t>SÁBADO 22:30 hs</t>
  </si>
  <si>
    <t>SÁBADO 22:45 hs</t>
  </si>
  <si>
    <t>SÁBADO 23:00 hs</t>
  </si>
  <si>
    <t>SÁBADO 23:15 hs</t>
  </si>
  <si>
    <t>SÁBADO 23:30 hs</t>
  </si>
  <si>
    <t>SÁBADO 23:45 hs</t>
  </si>
  <si>
    <t>DOMINGO 09:15 hs</t>
  </si>
  <si>
    <t>DOMINGO 09:30 hs</t>
  </si>
  <si>
    <t>DOMINGO 09:45 hs</t>
  </si>
  <si>
    <t>DOMINGO 10:00 hs</t>
  </si>
  <si>
    <t>DOMINGO 10:15 hs</t>
  </si>
  <si>
    <t>DOMINGO 10:30 hs</t>
  </si>
  <si>
    <t>DOMINGO 10:45 hs</t>
  </si>
  <si>
    <t>DOMINGO 11:00 hs</t>
  </si>
  <si>
    <t>DOMINGO 11:15 hs</t>
  </si>
  <si>
    <t>DOMINGO 11:30 hs</t>
  </si>
  <si>
    <t>DOMINGO 11:45 hs</t>
  </si>
  <si>
    <t>DOMINGO 12:00 hs</t>
  </si>
  <si>
    <t>DOMINGO 12:15 hs</t>
  </si>
  <si>
    <t>DOMINGO 12:30 hs</t>
  </si>
  <si>
    <t>DOMINGO 12:45 hs</t>
  </si>
  <si>
    <t>DOMINGO 13:00 hs</t>
  </si>
  <si>
    <t>DOMINGO 13:15 hs</t>
  </si>
  <si>
    <t>DOMINGO 13:30 hs</t>
  </si>
  <si>
    <t>DOMINGO 13:45 hs</t>
  </si>
  <si>
    <t>DOMINGO 14:00 hs</t>
  </si>
  <si>
    <t>DOMINGO 14:15 hs</t>
  </si>
  <si>
    <t>DOMINGO 14:30 hs</t>
  </si>
  <si>
    <t>DOMINGO 14:45 hs</t>
  </si>
  <si>
    <t>DOMINGO 15:00 hs</t>
  </si>
  <si>
    <t>DOMINGO 15:15 hs</t>
  </si>
  <si>
    <t>DOMINGO 15:30 hs</t>
  </si>
  <si>
    <t>DOMINGO 15:45 hs</t>
  </si>
  <si>
    <t>DOMINGO 16:00 hs</t>
  </si>
  <si>
    <t>DOMINGO 16:15 hs</t>
  </si>
  <si>
    <t>DOMINGO 16:30 hs</t>
  </si>
  <si>
    <t>DOMINGO 16:45 hs</t>
  </si>
  <si>
    <t>DOMINGO 17:00 hs</t>
  </si>
  <si>
    <t>DOMINGO 17:15 hs</t>
  </si>
  <si>
    <t>DOMINGO 17:30 hs</t>
  </si>
  <si>
    <t>DOMINGO 17:45 hs</t>
  </si>
  <si>
    <t>DOMINGO 18:00 hs</t>
  </si>
  <si>
    <t>DOMINGO 18:15 hs</t>
  </si>
  <si>
    <t>DOMINGO 18:30 hs</t>
  </si>
  <si>
    <t>DOMINGO 18:45 hs</t>
  </si>
  <si>
    <t>DOMINGO 19:00 hs</t>
  </si>
  <si>
    <t>DOMINGO 19:15 hs</t>
  </si>
  <si>
    <t>DOMINGO 19:30 hs</t>
  </si>
  <si>
    <t>DOMINGO 19:45 hs</t>
  </si>
  <si>
    <t>DOMINGO 20:00 hs</t>
  </si>
  <si>
    <t>DOMINGO 20:15 hs</t>
  </si>
  <si>
    <t>DOMINGO 20:30 hs</t>
  </si>
  <si>
    <t>DOMINGO 20:45 hs</t>
  </si>
  <si>
    <t>DOMINGO 21:00 hs</t>
  </si>
  <si>
    <t>DOMINGO 21:15 hs</t>
  </si>
  <si>
    <t>DOMINGO 21:30 hs</t>
  </si>
  <si>
    <t>DOMINGO 21:45 hs</t>
  </si>
  <si>
    <t>DOMINGO 22:00 hs</t>
  </si>
  <si>
    <t>DOMINGO 22:15 hs</t>
  </si>
  <si>
    <t>DOMINGO 22:30 hs</t>
  </si>
  <si>
    <t>DOMINGO 22:45 hs</t>
  </si>
  <si>
    <t>DOMINGO 23:00 hs</t>
  </si>
  <si>
    <t>DOMINGO 23:15 hs</t>
  </si>
  <si>
    <t>DOMINGO 23:30 hs</t>
  </si>
  <si>
    <t>DOMINGO 23:45 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</si>
</sst>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rgb="FF0000FF"/>
      <name val="Century Gothic"/>
    </font>
    <font>
      <b/>
      <sz val="10.0"/>
      <color theme="1"/>
      <name val="Times New Roman"/>
    </font>
    <font>
      <b/>
      <sz val="10.0"/>
      <color rgb="FF0000FF"/>
      <name val="Arial"/>
    </font>
    <font/>
    <font>
      <sz val="10.0"/>
      <color theme="1"/>
      <name val="Arial"/>
    </font>
    <font>
      <sz val="7.0"/>
      <color theme="1"/>
      <name val="Arial"/>
    </font>
    <font>
      <b/>
      <sz val="10.0"/>
      <color rgb="FF0000FF"/>
      <name val="Times New Roman"/>
    </font>
    <font>
      <sz val="6.0"/>
      <color theme="1"/>
      <name val="Arial"/>
    </font>
    <font>
      <color theme="1"/>
      <name val="Arial"/>
      <scheme val="minor"/>
    </font>
    <font>
      <b/>
      <sz val="12.0"/>
      <color theme="0"/>
      <name val="Calibri"/>
    </font>
    <font>
      <b/>
      <sz val="12.0"/>
      <color rgb="FF0000FF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0.0"/>
      <color theme="1"/>
      <name val="Arial"/>
    </font>
    <font>
      <sz val="10.0"/>
      <color theme="1"/>
      <name val="Times New Roman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366092"/>
        <bgColor rgb="FF366092"/>
      </patternFill>
    </fill>
  </fills>
  <borders count="3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/>
      <top style="medium">
        <color rgb="FF000000"/>
      </top>
    </border>
    <border>
      <lef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bottom style="medium">
        <color theme="0"/>
      </bottom>
    </border>
    <border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3" fontId="3" numFmtId="0" xfId="0" applyAlignment="1" applyBorder="1" applyFill="1" applyFont="1">
      <alignment horizontal="center" shrinkToFit="0" vertical="bottom" wrapText="0"/>
    </xf>
    <xf borderId="3" fillId="0" fontId="4" numFmtId="0" xfId="0" applyBorder="1" applyFont="1"/>
    <xf borderId="4" fillId="3" fontId="3" numFmtId="0" xfId="0" applyAlignment="1" applyBorder="1" applyFont="1">
      <alignment horizontal="center" shrinkToFit="0" vertical="bottom" wrapText="0"/>
    </xf>
    <xf borderId="5" fillId="2" fontId="2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7" fillId="0" fontId="5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horizontal="right" shrinkToFit="0" vertical="center" wrapText="0"/>
    </xf>
    <xf borderId="8" fillId="3" fontId="3" numFmtId="0" xfId="0" applyAlignment="1" applyBorder="1" applyFont="1">
      <alignment horizontal="center" shrinkToFit="0" vertical="bottom" wrapText="0"/>
    </xf>
    <xf borderId="6" fillId="0" fontId="4" numFmtId="0" xfId="0" applyBorder="1" applyFont="1"/>
    <xf borderId="7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2" fontId="2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bottom" wrapText="0"/>
    </xf>
    <xf borderId="10" fillId="0" fontId="5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horizontal="center" shrinkToFit="0" vertical="bottom" wrapText="0"/>
    </xf>
    <xf borderId="7" fillId="0" fontId="7" numFmtId="0" xfId="0" applyAlignment="1" applyBorder="1" applyFont="1">
      <alignment horizontal="right" readingOrder="0" shrinkToFit="0" vertical="center" wrapText="0"/>
    </xf>
    <xf borderId="0" fillId="0" fontId="3" numFmtId="0" xfId="0" applyAlignment="1" applyFont="1">
      <alignment horizontal="center" shrinkToFit="0" vertical="bottom" wrapText="0"/>
    </xf>
    <xf borderId="12" fillId="3" fontId="3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13" fillId="3" fontId="3" numFmtId="0" xfId="0" applyAlignment="1" applyBorder="1" applyFont="1">
      <alignment horizontal="center" shrinkToFit="0" vertical="bottom" wrapText="0"/>
    </xf>
    <xf borderId="14" fillId="0" fontId="6" numFmtId="0" xfId="0" applyAlignment="1" applyBorder="1" applyFont="1">
      <alignment horizontal="center" shrinkToFit="0" vertical="bottom" wrapText="0"/>
    </xf>
    <xf borderId="15" fillId="0" fontId="5" numFmtId="0" xfId="0" applyAlignment="1" applyBorder="1" applyFont="1">
      <alignment shrinkToFit="0" vertical="bottom" wrapText="0"/>
    </xf>
    <xf borderId="16" fillId="0" fontId="5" numFmtId="0" xfId="0" applyAlignment="1" applyBorder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7" fillId="0" fontId="7" numFmtId="0" xfId="0" applyAlignment="1" applyBorder="1" applyFont="1">
      <alignment horizontal="right" shrinkToFit="0" vertical="bottom" wrapText="0"/>
    </xf>
    <xf borderId="17" fillId="3" fontId="5" numFmtId="0" xfId="0" applyAlignment="1" applyBorder="1" applyFont="1">
      <alignment shrinkToFit="0" vertical="bottom" wrapText="0"/>
    </xf>
    <xf borderId="12" fillId="3" fontId="5" numFmtId="0" xfId="0" applyAlignment="1" applyBorder="1" applyFont="1">
      <alignment shrinkToFit="0" vertical="bottom" wrapText="0"/>
    </xf>
    <xf borderId="18" fillId="3" fontId="5" numFmtId="0" xfId="0" applyAlignment="1" applyBorder="1" applyFont="1">
      <alignment shrinkToFit="0" vertical="bottom" wrapText="0"/>
    </xf>
    <xf borderId="19" fillId="3" fontId="5" numFmtId="0" xfId="0" applyAlignment="1" applyBorder="1" applyFont="1">
      <alignment shrinkToFit="0" vertical="bottom" wrapText="0"/>
    </xf>
    <xf borderId="20" fillId="3" fontId="5" numFmtId="0" xfId="0" applyAlignment="1" applyBorder="1" applyFont="1">
      <alignment shrinkToFit="0" vertical="bottom" wrapText="0"/>
    </xf>
    <xf borderId="13" fillId="3" fontId="5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shrinkToFit="0" vertical="center" wrapText="1"/>
    </xf>
    <xf borderId="21" fillId="3" fontId="3" numFmtId="0" xfId="0" applyAlignment="1" applyBorder="1" applyFont="1">
      <alignment horizontal="center" shrinkToFit="0" vertical="bottom" wrapText="0"/>
    </xf>
    <xf borderId="22" fillId="0" fontId="4" numFmtId="0" xfId="0" applyBorder="1" applyFont="1"/>
    <xf borderId="0" fillId="0" fontId="9" numFmtId="0" xfId="0" applyFont="1"/>
    <xf borderId="0" fillId="0" fontId="5" numFmtId="0" xfId="0" applyAlignment="1" applyFont="1">
      <alignment shrinkToFit="0" vertical="center" wrapText="0"/>
    </xf>
    <xf borderId="14" fillId="0" fontId="5" numFmtId="0" xfId="0" applyAlignment="1" applyBorder="1" applyFont="1">
      <alignment shrinkToFit="0" vertical="bottom" wrapText="0"/>
    </xf>
    <xf borderId="23" fillId="0" fontId="5" numFmtId="0" xfId="0" applyAlignment="1" applyBorder="1" applyFont="1">
      <alignment horizontal="center" shrinkToFit="0" vertical="bottom" wrapText="0"/>
    </xf>
    <xf borderId="23" fillId="0" fontId="4" numFmtId="0" xfId="0" applyBorder="1" applyFont="1"/>
    <xf borderId="7" fillId="0" fontId="7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24" fillId="4" fontId="10" numFmtId="0" xfId="0" applyAlignment="1" applyBorder="1" applyFill="1" applyFont="1">
      <alignment horizontal="center" shrinkToFit="0" vertical="bottom" wrapText="0"/>
    </xf>
    <xf borderId="25" fillId="4" fontId="10" numFmtId="0" xfId="0" applyAlignment="1" applyBorder="1" applyFont="1">
      <alignment horizontal="center" shrinkToFit="0" vertical="bottom" wrapText="0"/>
    </xf>
    <xf borderId="26" fillId="0" fontId="11" numFmtId="0" xfId="0" applyAlignment="1" applyBorder="1" applyFont="1">
      <alignment horizontal="center" shrinkToFit="0" vertical="bottom" wrapText="0"/>
    </xf>
    <xf borderId="26" fillId="0" fontId="12" numFmtId="0" xfId="0" applyAlignment="1" applyBorder="1" applyFont="1">
      <alignment shrinkToFit="0" vertical="bottom" wrapText="0"/>
    </xf>
    <xf borderId="26" fillId="0" fontId="13" numFmtId="0" xfId="0" applyAlignment="1" applyBorder="1" applyFont="1">
      <alignment horizontal="center" readingOrder="0" shrinkToFit="0" vertical="bottom" wrapText="0"/>
    </xf>
    <xf borderId="27" fillId="0" fontId="12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horizontal="center" shrinkToFit="0" vertical="center" wrapText="0"/>
    </xf>
    <xf borderId="28" fillId="2" fontId="2" numFmtId="0" xfId="0" applyAlignment="1" applyBorder="1" applyFont="1">
      <alignment horizontal="center" shrinkToFit="0" vertical="center" wrapText="0"/>
    </xf>
    <xf borderId="29" fillId="0" fontId="12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center" wrapText="0"/>
    </xf>
    <xf borderId="29" fillId="0" fontId="12" numFmtId="0" xfId="0" applyAlignment="1" applyBorder="1" applyFont="1">
      <alignment horizontal="center" readingOrder="0" shrinkToFit="0" vertical="bottom" wrapText="0"/>
    </xf>
    <xf borderId="30" fillId="2" fontId="2" numFmtId="0" xfId="0" applyAlignment="1" applyBorder="1" applyFont="1">
      <alignment horizontal="center" shrinkToFit="0" vertical="center" wrapText="0"/>
    </xf>
    <xf borderId="5" fillId="2" fontId="15" numFmtId="0" xfId="0" applyAlignment="1" applyBorder="1" applyFont="1">
      <alignment horizontal="center" shrinkToFit="0" vertical="center" wrapText="0"/>
    </xf>
    <xf borderId="0" fillId="0" fontId="16" numFmtId="20" xfId="0" applyAlignment="1" applyFont="1" applyNumberFormat="1">
      <alignment shrinkToFit="0" vertical="bottom" wrapText="0"/>
    </xf>
    <xf borderId="0" fillId="0" fontId="5" numFmtId="20" xfId="0" applyAlignment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704850</xdr:colOff>
      <xdr:row>2</xdr:row>
      <xdr:rowOff>47625</xdr:rowOff>
    </xdr:from>
    <xdr:ext cx="2943225" cy="2486025"/>
    <xdr:sp>
      <xdr:nvSpPr>
        <xdr:cNvPr id="3" name="Shape 3"/>
        <xdr:cNvSpPr/>
      </xdr:nvSpPr>
      <xdr:spPr>
        <a:xfrm>
          <a:off x="3879150" y="2541750"/>
          <a:ext cx="2933700" cy="24765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876300</xdr:colOff>
      <xdr:row>0</xdr:row>
      <xdr:rowOff>0</xdr:rowOff>
    </xdr:from>
    <xdr:ext cx="3124200" cy="2247900"/>
    <xdr:sp>
      <xdr:nvSpPr>
        <xdr:cNvPr id="4" name="Shape 4"/>
        <xdr:cNvSpPr/>
      </xdr:nvSpPr>
      <xdr:spPr>
        <a:xfrm>
          <a:off x="3788663" y="2660813"/>
          <a:ext cx="3114675" cy="22383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66CC"/>
              </a:solidFill>
              <a:latin typeface="Calibri"/>
              <a:ea typeface="Calibri"/>
              <a:cs typeface="Calibri"/>
              <a:sym typeface="Calibri"/>
            </a:rPr>
            <a:t>CATEGORÍA: </a:t>
          </a:r>
          <a:r>
            <a:rPr b="1" i="0" lang="en-US" sz="2000" u="none" strike="noStrike">
              <a:solidFill>
                <a:srgbClr val="00FF00"/>
              </a:solidFill>
              <a:latin typeface="Calibri"/>
              <a:ea typeface="Calibri"/>
              <a:cs typeface="Calibri"/>
              <a:sym typeface="Calibri"/>
            </a:rPr>
            <a:t>completar</a:t>
          </a:r>
          <a:endParaRPr sz="1400"/>
        </a:p>
      </xdr:txBody>
    </xdr:sp>
    <xdr:clientData fLocksWithSheet="0"/>
  </xdr:oneCellAnchor>
  <xdr:oneCellAnchor>
    <xdr:from>
      <xdr:col>2</xdr:col>
      <xdr:colOff>304800</xdr:colOff>
      <xdr:row>2</xdr:row>
      <xdr:rowOff>38100</xdr:rowOff>
    </xdr:from>
    <xdr:ext cx="3352800" cy="1143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7.0"/>
    <col customWidth="1" min="3" max="3" width="13.63"/>
    <col customWidth="1" min="4" max="4" width="5.75"/>
    <col customWidth="1" min="5" max="5" width="19.88"/>
    <col customWidth="1" min="6" max="6" width="4.88"/>
    <col customWidth="1" min="7" max="7" width="19.13"/>
    <col customWidth="1" min="8" max="9" width="18.25"/>
    <col customWidth="1" min="10" max="10" width="9.5"/>
    <col customWidth="1" min="11" max="26" width="10.0"/>
  </cols>
  <sheetData>
    <row r="1" ht="11.25" customHeight="1"/>
    <row r="2" ht="11.25" customHeight="1"/>
    <row r="3" ht="11.25" customHeight="1"/>
    <row r="4" ht="11.25" customHeight="1"/>
    <row r="5" ht="11.25" customHeight="1">
      <c r="L5" s="1" t="s">
        <v>0</v>
      </c>
    </row>
    <row r="6" ht="11.25" customHeight="1"/>
    <row r="7" ht="11.25" customHeight="1"/>
    <row r="8" ht="11.25" customHeight="1"/>
    <row r="9" ht="11.25" customHeight="1"/>
    <row r="10" ht="11.25" customHeight="1"/>
    <row r="11" ht="11.25" customHeight="1"/>
    <row r="12" ht="11.25" customHeight="1"/>
    <row r="13" ht="11.25" customHeight="1"/>
    <row r="14" ht="11.25" customHeight="1"/>
    <row r="15" ht="11.25" customHeight="1"/>
    <row r="16" ht="11.25" customHeight="1">
      <c r="D16" s="2" t="s">
        <v>1</v>
      </c>
      <c r="E16" s="3" t="str">
        <f>+IFERROR(VLOOKUP(D16,'Base D40'!$B$3:$D$47,2,0)," ")</f>
        <v>LIBERTINI</v>
      </c>
    </row>
    <row r="17" ht="11.25" customHeight="1">
      <c r="D17" s="4"/>
      <c r="E17" s="5" t="str">
        <f>+IFERROR(VLOOKUP(D16,'Base D40'!$B$3:$D$47,3,0)," ")</f>
        <v>L. BENITEZ</v>
      </c>
    </row>
    <row r="18" ht="11.25" customHeight="1">
      <c r="D18" s="6"/>
      <c r="E18" s="7"/>
    </row>
    <row r="19" ht="11.25" customHeight="1">
      <c r="D19" s="8"/>
      <c r="E19" s="9"/>
    </row>
    <row r="20" ht="11.25" customHeight="1">
      <c r="B20" s="2" t="s">
        <v>2</v>
      </c>
      <c r="C20" s="3" t="str">
        <f>+IFERROR(VLOOKUP(B20,'Base D40'!$B$3:$D$47,2,0)," ")</f>
        <v>ISOLDI</v>
      </c>
      <c r="D20" s="8"/>
      <c r="E20" s="10">
        <v>49.0</v>
      </c>
      <c r="F20" s="11" t="str">
        <f>+IFERROR(VLOOKUP(#REF!,'Base D40'!$B$3:$D$47,2,0)," ")</f>
        <v> </v>
      </c>
      <c r="G20" s="12"/>
    </row>
    <row r="21" ht="11.25" customHeight="1">
      <c r="B21" s="4"/>
      <c r="C21" s="5" t="str">
        <f>+IFERROR(VLOOKUP(B20,'Base D40'!$B$3:$D$47,3,0)," ")</f>
        <v>T. PEREZ</v>
      </c>
      <c r="D21" s="8"/>
      <c r="E21" s="13"/>
      <c r="F21" s="14"/>
      <c r="G21" s="15"/>
    </row>
    <row r="22" ht="11.25" customHeight="1">
      <c r="B22" s="6"/>
      <c r="C22" s="7"/>
      <c r="D22" s="8"/>
      <c r="E22" s="10"/>
      <c r="F22" s="16"/>
      <c r="G22" s="17"/>
    </row>
    <row r="23" ht="11.25" customHeight="1">
      <c r="B23" s="8"/>
      <c r="C23" s="9"/>
      <c r="D23" s="8"/>
      <c r="E23" s="18"/>
      <c r="F23" s="6"/>
      <c r="G23" s="19"/>
    </row>
    <row r="24" ht="11.25" customHeight="1">
      <c r="B24" s="8"/>
      <c r="C24" s="20">
        <v>35.0</v>
      </c>
      <c r="D24" s="11" t="str">
        <f>+IFERROR(VLOOKUP(#REF!,'Base D40'!$B$3:$D$47,2,0)," ")</f>
        <v> </v>
      </c>
      <c r="E24" s="12"/>
      <c r="F24" s="6"/>
      <c r="G24" s="19"/>
    </row>
    <row r="25" ht="11.25" customHeight="1">
      <c r="B25" s="8"/>
      <c r="C25" s="13"/>
      <c r="D25" s="14"/>
      <c r="E25" s="15"/>
      <c r="F25" s="6"/>
      <c r="G25" s="9"/>
    </row>
    <row r="26" ht="11.25" customHeight="1">
      <c r="B26" s="8"/>
      <c r="C26" s="10"/>
      <c r="D26" s="6"/>
      <c r="E26" s="21"/>
      <c r="F26" s="6"/>
      <c r="G26" s="9"/>
    </row>
    <row r="27" ht="11.25" customHeight="1">
      <c r="B27" s="8"/>
      <c r="C27" s="18"/>
      <c r="D27" s="6"/>
      <c r="E27" s="21"/>
      <c r="F27" s="6"/>
      <c r="G27" s="9"/>
    </row>
    <row r="28" ht="11.25" customHeight="1">
      <c r="B28" s="2" t="s">
        <v>3</v>
      </c>
      <c r="C28" s="3" t="str">
        <f>+IFERROR(VLOOKUP(B28,'Base D40'!$B$3:$D$47,2,0)," ")</f>
        <v>J. ALVAREZ</v>
      </c>
      <c r="D28" s="6"/>
      <c r="E28" s="21"/>
      <c r="F28" s="6"/>
      <c r="G28" s="9"/>
    </row>
    <row r="29" ht="11.25" customHeight="1">
      <c r="B29" s="4"/>
      <c r="C29" s="5" t="str">
        <f>+IFERROR(VLOOKUP(B28,'Base D40'!$B$3:$D$47,3,0)," ")</f>
        <v>L. CARDINALI</v>
      </c>
      <c r="D29" s="6"/>
      <c r="E29" s="21"/>
      <c r="F29" s="6"/>
      <c r="G29" s="9"/>
    </row>
    <row r="30" ht="11.25" customHeight="1">
      <c r="D30" s="6"/>
      <c r="E30" s="21"/>
      <c r="F30" s="6"/>
      <c r="G30" s="10">
        <v>57.0</v>
      </c>
      <c r="H30" s="22" t="str">
        <f>+IFERROR(VLOOKUP($G$36,'Base D40'!$B$3:$D$47,2,0)," ")</f>
        <v> </v>
      </c>
    </row>
    <row r="31" ht="11.25" customHeight="1">
      <c r="D31" s="6"/>
      <c r="E31" s="23"/>
      <c r="F31" s="6"/>
      <c r="G31" s="13"/>
      <c r="H31" s="24"/>
    </row>
    <row r="32" ht="11.25" customHeight="1">
      <c r="B32" s="2" t="s">
        <v>4</v>
      </c>
      <c r="C32" s="3" t="str">
        <f>+IFERROR(VLOOKUP(B32,'Base D40'!$B$3:$D$47,2,0)," ")</f>
        <v>ROSSETO</v>
      </c>
      <c r="D32" s="6"/>
      <c r="E32" s="23"/>
      <c r="F32" s="6"/>
      <c r="G32" s="9"/>
      <c r="H32" s="9"/>
    </row>
    <row r="33" ht="11.25" customHeight="1">
      <c r="B33" s="4"/>
      <c r="C33" s="5" t="str">
        <f>+IFERROR(VLOOKUP(B32,'Base D40'!$B$3:$D$47,3,0)," ")</f>
        <v>PECCI</v>
      </c>
      <c r="D33" s="6"/>
      <c r="E33" s="23"/>
      <c r="F33" s="6"/>
      <c r="G33" s="9"/>
      <c r="H33" s="9"/>
    </row>
    <row r="34" ht="11.25" customHeight="1">
      <c r="B34" s="6"/>
      <c r="C34" s="7"/>
      <c r="D34" s="6"/>
      <c r="E34" s="23"/>
      <c r="F34" s="6"/>
      <c r="G34" s="9"/>
      <c r="H34" s="9"/>
    </row>
    <row r="35" ht="11.25" customHeight="1">
      <c r="B35" s="8"/>
      <c r="C35" s="9"/>
      <c r="F35" s="8"/>
      <c r="G35" s="9"/>
      <c r="H35" s="9"/>
    </row>
    <row r="36" ht="11.25" customHeight="1">
      <c r="B36" s="8"/>
      <c r="C36" s="20">
        <v>36.0</v>
      </c>
      <c r="D36" s="11" t="str">
        <f>+IFERROR(VLOOKUP(#REF!,'Base D40'!$B$3:$D$47,2,0)," ")</f>
        <v> </v>
      </c>
      <c r="E36" s="12"/>
      <c r="F36" s="8"/>
      <c r="G36" s="9"/>
      <c r="H36" s="9"/>
    </row>
    <row r="37" ht="11.25" customHeight="1">
      <c r="B37" s="8"/>
      <c r="C37" s="13"/>
      <c r="D37" s="14"/>
      <c r="E37" s="15"/>
      <c r="F37" s="8"/>
      <c r="G37" s="9"/>
      <c r="H37" s="9"/>
      <c r="I37" s="23"/>
      <c r="J37" s="23"/>
      <c r="K37" s="23"/>
    </row>
    <row r="38" ht="11.25" customHeight="1">
      <c r="B38" s="8"/>
      <c r="C38" s="10"/>
      <c r="D38" s="6"/>
      <c r="E38" s="7"/>
      <c r="F38" s="8"/>
      <c r="G38" s="10"/>
      <c r="H38" s="9"/>
      <c r="I38" s="23"/>
      <c r="J38" s="23"/>
      <c r="K38" s="23"/>
    </row>
    <row r="39" ht="11.25" customHeight="1">
      <c r="B39" s="8"/>
      <c r="C39" s="18"/>
      <c r="D39" s="8"/>
      <c r="E39" s="9"/>
      <c r="F39" s="25"/>
      <c r="G39" s="18"/>
      <c r="H39" s="9"/>
      <c r="I39" s="23"/>
      <c r="J39" s="23"/>
      <c r="K39" s="23"/>
    </row>
    <row r="40" ht="11.25" customHeight="1">
      <c r="B40" s="2" t="s">
        <v>5</v>
      </c>
      <c r="C40" s="3" t="str">
        <f>+IFERROR(VLOOKUP(B40,'Base D40'!$B$3:$D$47,2,0)," ")</f>
        <v>SISTERNA</v>
      </c>
      <c r="D40" s="8"/>
      <c r="E40" s="10">
        <v>50.0</v>
      </c>
      <c r="F40" s="11" t="str">
        <f>+IFERROR(VLOOKUP(#REF!,'Base D40'!$B$3:$D$47,2,0)," ")</f>
        <v> </v>
      </c>
      <c r="G40" s="12"/>
      <c r="H40" s="9"/>
      <c r="I40" s="23"/>
      <c r="J40" s="23"/>
      <c r="K40" s="23"/>
      <c r="L40" s="26"/>
    </row>
    <row r="41" ht="11.25" customHeight="1">
      <c r="B41" s="4"/>
      <c r="C41" s="5" t="str">
        <f>+IFERROR(VLOOKUP(B40,'Base D40'!$B$3:$D$47,3,0)," ")</f>
        <v>CORONEL</v>
      </c>
      <c r="D41" s="8"/>
      <c r="E41" s="13"/>
      <c r="F41" s="14"/>
      <c r="G41" s="15"/>
      <c r="H41" s="9"/>
      <c r="I41" s="23"/>
      <c r="J41" s="23"/>
      <c r="K41" s="23"/>
    </row>
    <row r="42" ht="11.25" customHeight="1">
      <c r="B42" s="6"/>
      <c r="C42" s="21"/>
      <c r="D42" s="8"/>
      <c r="E42" s="10"/>
      <c r="F42" s="21"/>
      <c r="G42" s="21"/>
      <c r="H42" s="9"/>
      <c r="I42" s="23"/>
      <c r="J42" s="23"/>
      <c r="K42" s="23"/>
    </row>
    <row r="43" ht="11.25" customHeight="1">
      <c r="B43" s="6"/>
      <c r="C43" s="21"/>
      <c r="D43" s="8"/>
      <c r="E43" s="10"/>
      <c r="F43" s="21"/>
      <c r="G43" s="21"/>
      <c r="H43" s="9"/>
      <c r="I43" s="23"/>
      <c r="J43" s="23"/>
      <c r="K43" s="23"/>
    </row>
    <row r="44" ht="11.25" customHeight="1">
      <c r="B44" s="6"/>
      <c r="C44" s="21"/>
      <c r="D44" s="8"/>
      <c r="E44" s="10"/>
      <c r="F44" s="21"/>
      <c r="G44" s="21"/>
      <c r="H44" s="9"/>
      <c r="I44" s="23"/>
      <c r="J44" s="23"/>
      <c r="K44" s="23"/>
    </row>
    <row r="45" ht="11.25" customHeight="1">
      <c r="D45" s="8"/>
      <c r="E45" s="10"/>
      <c r="F45" s="23"/>
      <c r="G45" s="23"/>
      <c r="H45" s="9"/>
      <c r="I45" s="23"/>
      <c r="J45" s="23"/>
      <c r="K45" s="23"/>
    </row>
    <row r="46" ht="11.25" customHeight="1">
      <c r="B46" s="2" t="s">
        <v>6</v>
      </c>
      <c r="C46" s="3" t="str">
        <f>+IFERROR(VLOOKUP(B46,'Base D40'!$B$3:$D$47,2,0)," ")</f>
        <v>CONCA</v>
      </c>
      <c r="D46" s="8"/>
      <c r="E46" s="10"/>
      <c r="F46" s="23"/>
      <c r="G46" s="23"/>
      <c r="H46" s="9"/>
      <c r="I46" s="23"/>
      <c r="J46" s="23"/>
      <c r="K46" s="23"/>
    </row>
    <row r="47" ht="11.25" customHeight="1">
      <c r="B47" s="4"/>
      <c r="C47" s="5" t="str">
        <f>+IFERROR(VLOOKUP(B46,'Base D40'!$B$3:$D$47,3,0)," ")</f>
        <v>FEJMI</v>
      </c>
      <c r="D47" s="8"/>
      <c r="E47" s="10"/>
      <c r="F47" s="23"/>
      <c r="G47" s="23"/>
      <c r="H47" s="9"/>
      <c r="I47" s="23"/>
      <c r="J47" s="23"/>
      <c r="K47" s="23"/>
    </row>
    <row r="48" ht="11.25" customHeight="1">
      <c r="B48" s="6"/>
      <c r="C48" s="7"/>
      <c r="D48" s="8"/>
      <c r="E48" s="10"/>
      <c r="F48" s="23"/>
      <c r="G48" s="23"/>
      <c r="H48" s="9"/>
      <c r="I48" s="23"/>
      <c r="J48" s="23"/>
      <c r="K48" s="23"/>
    </row>
    <row r="49" ht="11.25" customHeight="1">
      <c r="B49" s="8"/>
      <c r="C49" s="9"/>
      <c r="D49" s="8"/>
      <c r="E49" s="18"/>
      <c r="F49" s="8"/>
      <c r="G49" s="23"/>
      <c r="H49" s="9"/>
      <c r="I49" s="23"/>
      <c r="J49" s="23"/>
      <c r="K49" s="23"/>
    </row>
    <row r="50" ht="11.25" customHeight="1">
      <c r="B50" s="8"/>
      <c r="C50" s="20">
        <v>37.0</v>
      </c>
      <c r="D50" s="11" t="str">
        <f>+IFERROR(VLOOKUP(#REF!,'Base D40'!$B$3:$D$47,2,0)," ")</f>
        <v> </v>
      </c>
      <c r="E50" s="12"/>
      <c r="F50" s="8"/>
      <c r="G50" s="23"/>
      <c r="H50" s="9"/>
      <c r="I50" s="23"/>
      <c r="J50" s="23"/>
      <c r="K50" s="23"/>
    </row>
    <row r="51" ht="11.25" customHeight="1">
      <c r="B51" s="8"/>
      <c r="C51" s="13"/>
      <c r="D51" s="14"/>
      <c r="E51" s="15"/>
      <c r="F51" s="8"/>
      <c r="G51" s="23"/>
      <c r="H51" s="9"/>
      <c r="I51" s="23"/>
      <c r="J51" s="23"/>
      <c r="K51" s="23"/>
    </row>
    <row r="52" ht="11.25" customHeight="1">
      <c r="B52" s="8"/>
      <c r="C52" s="10"/>
      <c r="D52" s="6"/>
      <c r="F52" s="8"/>
      <c r="G52" s="23"/>
      <c r="H52" s="10"/>
      <c r="I52" s="23"/>
      <c r="J52" s="23"/>
      <c r="K52" s="23"/>
    </row>
    <row r="53" ht="11.25" customHeight="1">
      <c r="B53" s="8"/>
      <c r="C53" s="18"/>
      <c r="D53" s="6"/>
      <c r="F53" s="8"/>
      <c r="G53" s="23"/>
      <c r="H53" s="10">
        <v>61.0</v>
      </c>
      <c r="I53" s="23"/>
      <c r="J53" s="23"/>
      <c r="K53" s="23"/>
    </row>
    <row r="54" ht="11.25" customHeight="1">
      <c r="B54" s="2" t="s">
        <v>7</v>
      </c>
      <c r="C54" s="3" t="str">
        <f>+IFERROR(VLOOKUP(B54,'Base D40'!$B$3:$D$47,2,0)," ")</f>
        <v>PRIETO</v>
      </c>
      <c r="D54" s="6"/>
      <c r="F54" s="8"/>
      <c r="G54" s="23"/>
      <c r="H54" s="13"/>
      <c r="I54" s="27"/>
      <c r="J54" s="7"/>
      <c r="K54" s="23"/>
    </row>
    <row r="55" ht="11.25" customHeight="1">
      <c r="B55" s="4"/>
      <c r="C55" s="5" t="str">
        <f>+IFERROR(VLOOKUP(B54,'Base D40'!$B$3:$D$47,3,0)," ")</f>
        <v>DAQUILA</v>
      </c>
      <c r="D55" s="6"/>
      <c r="F55" s="8"/>
      <c r="G55" s="23"/>
      <c r="H55" s="10"/>
      <c r="I55" s="23"/>
      <c r="J55" s="9"/>
      <c r="K55" s="23"/>
    </row>
    <row r="56" ht="11.25" customHeight="1">
      <c r="D56" s="6"/>
      <c r="F56" s="8"/>
      <c r="G56" s="23"/>
      <c r="H56" s="10"/>
      <c r="I56" s="23"/>
      <c r="J56" s="9"/>
      <c r="K56" s="23"/>
    </row>
    <row r="57" ht="11.25" customHeight="1">
      <c r="D57" s="6"/>
      <c r="F57" s="8"/>
      <c r="G57" s="23"/>
      <c r="H57" s="10"/>
      <c r="I57" s="23"/>
      <c r="J57" s="9"/>
      <c r="K57" s="23"/>
    </row>
    <row r="58" ht="11.25" customHeight="1">
      <c r="D58" s="2" t="s">
        <v>8</v>
      </c>
      <c r="E58" s="3" t="str">
        <f>+IFERROR(VLOOKUP(D58,'Base D40'!$B$3:$D$47,2,0)," ")</f>
        <v>I. BRAVO</v>
      </c>
      <c r="F58" s="8"/>
      <c r="G58" s="23"/>
      <c r="H58" s="10"/>
      <c r="I58" s="23"/>
      <c r="J58" s="9"/>
      <c r="K58" s="23"/>
    </row>
    <row r="59" ht="11.25" customHeight="1">
      <c r="D59" s="4"/>
      <c r="E59" s="5" t="str">
        <f>+IFERROR(VLOOKUP(D58,'Base D40'!$B$3:$D$47,3,0)," ")</f>
        <v>G. PRADO</v>
      </c>
      <c r="F59" s="8"/>
      <c r="G59" s="23"/>
      <c r="H59" s="10"/>
      <c r="I59" s="23"/>
      <c r="J59" s="9"/>
      <c r="K59" s="23"/>
    </row>
    <row r="60" ht="11.25" customHeight="1">
      <c r="D60" s="6"/>
      <c r="E60" s="7"/>
      <c r="F60" s="8"/>
      <c r="G60" s="23"/>
      <c r="H60" s="10"/>
      <c r="I60" s="23"/>
      <c r="J60" s="9"/>
      <c r="K60" s="23"/>
    </row>
    <row r="61" ht="11.25" customHeight="1">
      <c r="D61" s="8"/>
      <c r="E61" s="9"/>
      <c r="F61" s="8"/>
      <c r="G61" s="23"/>
      <c r="H61" s="9"/>
      <c r="I61" s="23"/>
      <c r="J61" s="9"/>
      <c r="K61" s="23"/>
    </row>
    <row r="62" ht="11.25" customHeight="1">
      <c r="B62" s="2" t="s">
        <v>9</v>
      </c>
      <c r="C62" s="3" t="str">
        <f>+IFERROR(VLOOKUP(B62,'Base D40'!$B$3:$D$47,2,0)," ")</f>
        <v>GALLEGUILLO</v>
      </c>
      <c r="D62" s="8"/>
      <c r="E62" s="10">
        <v>51.0</v>
      </c>
      <c r="F62" s="11" t="str">
        <f>+IFERROR(VLOOKUP(#REF!,'Base D40'!$B$3:$D$47,2,0)," ")</f>
        <v> </v>
      </c>
      <c r="G62" s="12"/>
      <c r="H62" s="9"/>
      <c r="I62" s="23"/>
      <c r="J62" s="9"/>
      <c r="K62" s="23"/>
    </row>
    <row r="63" ht="11.25" customHeight="1">
      <c r="B63" s="4"/>
      <c r="C63" s="5" t="str">
        <f>+IFERROR(VLOOKUP(B62,'Base D40'!$B$3:$D$47,3,0)," ")</f>
        <v>L. BRAVO</v>
      </c>
      <c r="D63" s="8"/>
      <c r="E63" s="13"/>
      <c r="F63" s="14"/>
      <c r="G63" s="15"/>
      <c r="H63" s="9"/>
      <c r="I63" s="23"/>
      <c r="J63" s="9"/>
      <c r="K63" s="23"/>
    </row>
    <row r="64" ht="11.25" customHeight="1">
      <c r="B64" s="6"/>
      <c r="C64" s="7"/>
      <c r="D64" s="8"/>
      <c r="E64" s="10"/>
      <c r="F64" s="6"/>
      <c r="G64" s="7"/>
      <c r="H64" s="9"/>
      <c r="I64" s="23"/>
      <c r="J64" s="9"/>
      <c r="K64" s="23"/>
    </row>
    <row r="65" ht="11.25" customHeight="1">
      <c r="B65" s="8"/>
      <c r="C65" s="9"/>
      <c r="D65" s="8"/>
      <c r="E65" s="18"/>
      <c r="F65" s="8"/>
      <c r="G65" s="10"/>
      <c r="H65" s="9"/>
      <c r="I65" s="23"/>
      <c r="J65" s="9"/>
      <c r="K65" s="23"/>
    </row>
    <row r="66" ht="11.25" customHeight="1">
      <c r="B66" s="8"/>
      <c r="C66" s="20">
        <v>37.0</v>
      </c>
      <c r="D66" s="11" t="str">
        <f>+IFERROR(VLOOKUP(#REF!,'Base D40'!$B$3:$D$47,2,0)," ")</f>
        <v> </v>
      </c>
      <c r="E66" s="12"/>
      <c r="F66" s="8"/>
      <c r="G66" s="9"/>
      <c r="H66" s="9"/>
      <c r="I66" s="23"/>
      <c r="J66" s="9"/>
      <c r="K66" s="23"/>
    </row>
    <row r="67" ht="11.25" customHeight="1">
      <c r="B67" s="8"/>
      <c r="C67" s="13"/>
      <c r="D67" s="14"/>
      <c r="E67" s="15"/>
      <c r="F67" s="8"/>
      <c r="G67" s="9"/>
      <c r="H67" s="9"/>
      <c r="I67" s="23"/>
      <c r="J67" s="9"/>
      <c r="K67" s="23"/>
    </row>
    <row r="68" ht="11.25" customHeight="1">
      <c r="B68" s="8"/>
      <c r="C68" s="10"/>
      <c r="D68" s="6"/>
      <c r="E68" s="21"/>
      <c r="F68" s="8"/>
      <c r="G68" s="9"/>
      <c r="H68" s="9"/>
      <c r="I68" s="23"/>
      <c r="J68" s="9"/>
      <c r="K68" s="23"/>
    </row>
    <row r="69" ht="11.25" customHeight="1">
      <c r="B69" s="8"/>
      <c r="C69" s="18"/>
      <c r="D69" s="6"/>
      <c r="E69" s="21"/>
      <c r="F69" s="8"/>
      <c r="G69" s="9"/>
      <c r="H69" s="9"/>
      <c r="I69" s="23"/>
      <c r="J69" s="9"/>
      <c r="K69" s="23"/>
    </row>
    <row r="70" ht="11.25" customHeight="1">
      <c r="B70" s="2" t="s">
        <v>10</v>
      </c>
      <c r="C70" s="3" t="str">
        <f>+IFERROR(VLOOKUP(B70,'Base D40'!$B$3:$D$47,2,0)," ")</f>
        <v>SACARELO</v>
      </c>
      <c r="D70" s="6"/>
      <c r="E70" s="21"/>
      <c r="F70" s="8"/>
      <c r="G70" s="9"/>
      <c r="H70" s="9"/>
      <c r="I70" s="23"/>
      <c r="J70" s="9"/>
      <c r="K70" s="23"/>
    </row>
    <row r="71" ht="11.25" customHeight="1">
      <c r="B71" s="4"/>
      <c r="C71" s="5" t="str">
        <f>+IFERROR(VLOOKUP(B70,'Base D40'!$B$3:$D$47,3,0)," ")</f>
        <v>BURZAN</v>
      </c>
      <c r="D71" s="6"/>
      <c r="E71" s="21"/>
      <c r="F71" s="8"/>
      <c r="G71" s="9"/>
      <c r="H71" s="9"/>
      <c r="I71" s="23"/>
      <c r="J71" s="9"/>
      <c r="K71" s="23"/>
    </row>
    <row r="72" ht="11.25" customHeight="1">
      <c r="D72" s="6"/>
      <c r="E72" s="21"/>
      <c r="F72" s="8"/>
      <c r="G72" s="9"/>
      <c r="H72" s="9"/>
      <c r="I72" s="23"/>
      <c r="J72" s="9"/>
      <c r="K72" s="23"/>
    </row>
    <row r="73" ht="11.25" customHeight="1">
      <c r="D73" s="6"/>
      <c r="E73" s="21"/>
      <c r="F73" s="8"/>
      <c r="G73" s="9"/>
      <c r="H73" s="9"/>
      <c r="I73" s="23"/>
      <c r="J73" s="9"/>
      <c r="K73" s="23"/>
    </row>
    <row r="74" ht="11.25" customHeight="1">
      <c r="D74" s="6"/>
      <c r="E74" s="21"/>
      <c r="F74" s="8"/>
      <c r="G74" s="10">
        <v>58.0</v>
      </c>
      <c r="H74" s="22"/>
      <c r="I74" s="23"/>
      <c r="J74" s="9"/>
      <c r="K74" s="23"/>
    </row>
    <row r="75" ht="11.25" customHeight="1">
      <c r="D75" s="6"/>
      <c r="E75" s="21"/>
      <c r="F75" s="8"/>
      <c r="G75" s="13"/>
      <c r="H75" s="24"/>
      <c r="I75" s="23"/>
      <c r="J75" s="9"/>
      <c r="K75" s="23"/>
    </row>
    <row r="76" ht="11.25" customHeight="1">
      <c r="D76" s="6"/>
      <c r="E76" s="21"/>
      <c r="F76" s="8"/>
      <c r="G76" s="19"/>
      <c r="H76" s="17"/>
      <c r="I76" s="23"/>
      <c r="J76" s="9"/>
      <c r="K76" s="23"/>
    </row>
    <row r="77" ht="11.25" customHeight="1">
      <c r="B77" s="2" t="s">
        <v>11</v>
      </c>
      <c r="C77" s="3" t="str">
        <f>+IFERROR(VLOOKUP(B77,'Base D40'!$B$3:$D$47,2,0)," ")</f>
        <v>M. GONZALEZ</v>
      </c>
      <c r="E77" s="28"/>
      <c r="F77" s="8"/>
      <c r="G77" s="19"/>
      <c r="H77" s="19"/>
      <c r="I77" s="23"/>
      <c r="J77" s="9"/>
      <c r="K77" s="23"/>
    </row>
    <row r="78" ht="11.25" customHeight="1">
      <c r="B78" s="4"/>
      <c r="C78" s="5" t="str">
        <f>+IFERROR(VLOOKUP(B77,'Base D40'!$B$3:$D$47,3,0)," ")</f>
        <v>REGUEIRA</v>
      </c>
      <c r="E78" s="28"/>
      <c r="F78" s="8"/>
      <c r="G78" s="10"/>
      <c r="H78" s="19"/>
      <c r="I78" s="23"/>
      <c r="J78" s="9"/>
      <c r="K78" s="23"/>
    </row>
    <row r="79" ht="11.25" customHeight="1">
      <c r="B79" s="6"/>
      <c r="C79" s="7"/>
      <c r="E79" s="28"/>
      <c r="F79" s="8"/>
      <c r="G79" s="10"/>
      <c r="H79" s="19"/>
      <c r="I79" s="23"/>
      <c r="J79" s="9"/>
      <c r="K79" s="23"/>
    </row>
    <row r="80" ht="11.25" customHeight="1">
      <c r="B80" s="8"/>
      <c r="C80" s="9"/>
      <c r="E80" s="28"/>
      <c r="F80" s="8"/>
      <c r="G80" s="10"/>
      <c r="H80" s="19"/>
      <c r="I80" s="23"/>
      <c r="J80" s="9"/>
      <c r="K80" s="23"/>
    </row>
    <row r="81" ht="11.25" customHeight="1">
      <c r="B81" s="8"/>
      <c r="C81" s="20">
        <v>39.0</v>
      </c>
      <c r="D81" s="11" t="str">
        <f>+IFERROR(VLOOKUP(#REF!,'Base D40'!$B$3:$D$47,2,0)," ")</f>
        <v> </v>
      </c>
      <c r="E81" s="12"/>
      <c r="F81" s="8"/>
      <c r="G81" s="29"/>
      <c r="H81" s="9"/>
      <c r="I81" s="23"/>
      <c r="J81" s="9"/>
      <c r="K81" s="23"/>
    </row>
    <row r="82" ht="11.25" customHeight="1">
      <c r="B82" s="8"/>
      <c r="C82" s="13"/>
      <c r="D82" s="14"/>
      <c r="E82" s="15"/>
      <c r="F82" s="8"/>
      <c r="G82" s="29"/>
      <c r="H82" s="9"/>
      <c r="I82" s="23"/>
      <c r="J82" s="9"/>
      <c r="K82" s="23"/>
    </row>
    <row r="83" ht="11.25" customHeight="1">
      <c r="B83" s="8"/>
      <c r="C83" s="10"/>
      <c r="D83" s="6"/>
      <c r="E83" s="7"/>
      <c r="F83" s="8"/>
      <c r="G83" s="29"/>
      <c r="H83" s="9"/>
      <c r="I83" s="23"/>
      <c r="J83" s="9"/>
      <c r="K83" s="23"/>
    </row>
    <row r="84" ht="11.25" customHeight="1">
      <c r="B84" s="8"/>
      <c r="C84" s="18"/>
      <c r="D84" s="8"/>
      <c r="E84" s="9"/>
      <c r="F84" s="8"/>
      <c r="G84" s="18"/>
      <c r="H84" s="9"/>
      <c r="I84" s="23"/>
      <c r="J84" s="9"/>
      <c r="K84" s="23"/>
    </row>
    <row r="85" ht="11.25" customHeight="1">
      <c r="B85" s="2" t="s">
        <v>12</v>
      </c>
      <c r="C85" s="3" t="str">
        <f>+IFERROR(VLOOKUP(B85,'Base D40'!$B$3:$D$47,2,0)," ")</f>
        <v>FURLANI</v>
      </c>
      <c r="D85" s="8"/>
      <c r="E85" s="10">
        <v>52.0</v>
      </c>
      <c r="F85" s="11" t="str">
        <f>+IFERROR(VLOOKUP(#REF!,'Base D40'!$B$3:$D$47,2,0)," ")</f>
        <v> </v>
      </c>
      <c r="G85" s="12"/>
      <c r="H85" s="9"/>
      <c r="J85" s="9"/>
    </row>
    <row r="86" ht="11.25" customHeight="1">
      <c r="B86" s="4"/>
      <c r="C86" s="5" t="str">
        <f>+IFERROR(VLOOKUP(B85,'Base D40'!$B$3:$D$47,3,0)," ")</f>
        <v>DE JESUS REY</v>
      </c>
      <c r="D86" s="8"/>
      <c r="E86" s="13"/>
      <c r="F86" s="14"/>
      <c r="G86" s="15"/>
      <c r="H86" s="9"/>
      <c r="J86" s="9"/>
    </row>
    <row r="87" ht="11.25" customHeight="1">
      <c r="D87" s="8"/>
      <c r="E87" s="10"/>
      <c r="F87" s="8"/>
      <c r="G87" s="23"/>
      <c r="H87" s="9"/>
      <c r="J87" s="9"/>
    </row>
    <row r="88" ht="11.25" customHeight="1">
      <c r="D88" s="8"/>
      <c r="E88" s="18"/>
      <c r="F88" s="8"/>
      <c r="G88" s="23"/>
      <c r="H88" s="29"/>
      <c r="J88" s="9"/>
    </row>
    <row r="89" ht="11.25" customHeight="1">
      <c r="D89" s="2" t="s">
        <v>13</v>
      </c>
      <c r="E89" s="3" t="str">
        <f>+IFERROR(VLOOKUP(D89,'Base D40'!$B$3:$D$47,2,0)," ")</f>
        <v>SIMONETTI</v>
      </c>
      <c r="F89" s="8"/>
      <c r="G89" s="23"/>
      <c r="H89" s="9"/>
      <c r="J89" s="9"/>
    </row>
    <row r="90" ht="11.25" customHeight="1">
      <c r="D90" s="4"/>
      <c r="E90" s="5" t="str">
        <f>+IFERROR(VLOOKUP(D89,'Base D40'!$B$3:$D$47,3,0)," ")</f>
        <v>SAUREL</v>
      </c>
      <c r="F90" s="8"/>
      <c r="G90" s="23"/>
      <c r="H90" s="9"/>
      <c r="J90" s="18"/>
    </row>
    <row r="91" ht="11.25" customHeight="1">
      <c r="E91" s="28"/>
      <c r="F91" s="8"/>
      <c r="G91" s="23"/>
      <c r="H91" s="9"/>
      <c r="J91" s="30"/>
      <c r="K91" s="31"/>
    </row>
    <row r="92" ht="11.25" customHeight="1">
      <c r="E92" s="28"/>
      <c r="F92" s="8"/>
      <c r="G92" s="23"/>
      <c r="H92" s="9"/>
      <c r="I92" s="10">
        <v>64.0</v>
      </c>
      <c r="J92" s="32"/>
      <c r="K92" s="33"/>
    </row>
    <row r="93" ht="11.25" customHeight="1">
      <c r="E93" s="28"/>
      <c r="F93" s="8"/>
      <c r="G93" s="23"/>
      <c r="H93" s="9"/>
      <c r="I93" s="13"/>
      <c r="J93" s="32"/>
      <c r="K93" s="33"/>
    </row>
    <row r="94" ht="11.25" customHeight="1">
      <c r="E94" s="28"/>
      <c r="F94" s="8"/>
      <c r="G94" s="23"/>
      <c r="H94" s="9"/>
      <c r="J94" s="34"/>
      <c r="K94" s="35"/>
    </row>
    <row r="95" ht="11.25" customHeight="1">
      <c r="B95" s="6"/>
      <c r="C95" s="21"/>
      <c r="E95" s="28"/>
      <c r="F95" s="8"/>
      <c r="G95" s="23"/>
      <c r="H95" s="9"/>
      <c r="J95" s="7"/>
      <c r="K95" s="23"/>
    </row>
    <row r="96" ht="11.25" customHeight="1">
      <c r="B96" s="6"/>
      <c r="C96" s="21"/>
      <c r="E96" s="28"/>
      <c r="F96" s="8"/>
      <c r="G96" s="23"/>
      <c r="H96" s="9"/>
      <c r="J96" s="9"/>
      <c r="K96" s="23"/>
    </row>
    <row r="97" ht="11.25" customHeight="1">
      <c r="B97" s="6"/>
      <c r="C97" s="21"/>
      <c r="E97" s="28"/>
      <c r="F97" s="8"/>
      <c r="G97" s="23"/>
      <c r="H97" s="9"/>
      <c r="J97" s="9"/>
      <c r="K97" s="23"/>
    </row>
    <row r="98" ht="11.25" customHeight="1">
      <c r="D98" s="2" t="s">
        <v>14</v>
      </c>
      <c r="E98" s="3" t="str">
        <f>+IFERROR(VLOOKUP(D98,'Base D40'!$B$3:$D$47,2,0)," ")</f>
        <v>IRRAZABAL</v>
      </c>
      <c r="F98" s="8"/>
      <c r="G98" s="23"/>
      <c r="H98" s="9"/>
      <c r="I98" s="23"/>
      <c r="J98" s="9"/>
      <c r="K98" s="23"/>
    </row>
    <row r="99" ht="11.25" customHeight="1">
      <c r="D99" s="4"/>
      <c r="E99" s="5" t="str">
        <f>+IFERROR(VLOOKUP(D98,'Base D40'!$B$3:$D$47,3,0)," ")</f>
        <v>ROMERO</v>
      </c>
      <c r="F99" s="8"/>
      <c r="G99" s="23"/>
      <c r="H99" s="9"/>
      <c r="I99" s="23"/>
      <c r="J99" s="9"/>
      <c r="K99" s="23"/>
    </row>
    <row r="100" ht="11.25" customHeight="1">
      <c r="D100" s="6"/>
      <c r="E100" s="9"/>
      <c r="F100" s="8"/>
      <c r="G100" s="23"/>
      <c r="H100" s="9"/>
      <c r="I100" s="23"/>
      <c r="J100" s="9"/>
      <c r="K100" s="23"/>
    </row>
    <row r="101" ht="11.25" customHeight="1">
      <c r="D101" s="36"/>
      <c r="E101" s="9"/>
      <c r="F101" s="8"/>
      <c r="G101" s="23"/>
      <c r="H101" s="9"/>
      <c r="I101" s="23"/>
      <c r="J101" s="9"/>
      <c r="K101" s="23"/>
    </row>
    <row r="102" ht="11.25" customHeight="1">
      <c r="B102" s="2" t="s">
        <v>15</v>
      </c>
      <c r="C102" s="3" t="str">
        <f>+IFERROR(VLOOKUP(B102,'Base D40'!$B$3:$D$47,2,0)," ")</f>
        <v>RICCIO</v>
      </c>
      <c r="D102" s="8"/>
      <c r="E102" s="10">
        <v>53.0</v>
      </c>
      <c r="F102" s="37" t="s">
        <v>16</v>
      </c>
      <c r="G102" s="12"/>
      <c r="H102" s="9"/>
      <c r="I102" s="23"/>
      <c r="J102" s="9"/>
      <c r="K102" s="23"/>
    </row>
    <row r="103" ht="11.25" customHeight="1">
      <c r="B103" s="4"/>
      <c r="C103" s="5" t="str">
        <f>+IFERROR(VLOOKUP(B102,'Base D40'!$B$3:$D$47,3,0)," ")</f>
        <v>ITURRIZA</v>
      </c>
      <c r="D103" s="8"/>
      <c r="E103" s="13"/>
      <c r="F103" s="38"/>
      <c r="G103" s="15"/>
      <c r="H103" s="9"/>
      <c r="I103" s="23"/>
      <c r="J103" s="9"/>
      <c r="K103" s="23"/>
    </row>
    <row r="104" ht="11.25" customHeight="1">
      <c r="B104" s="6"/>
      <c r="C104" s="7"/>
      <c r="D104" s="8"/>
      <c r="E104" s="10"/>
      <c r="F104" s="16"/>
      <c r="G104" s="7"/>
      <c r="H104" s="9"/>
      <c r="I104" s="23"/>
      <c r="J104" s="9"/>
      <c r="K104" s="23"/>
    </row>
    <row r="105" ht="11.25" customHeight="1">
      <c r="B105" s="8"/>
      <c r="C105" s="9"/>
      <c r="D105" s="8"/>
      <c r="E105" s="18"/>
      <c r="F105" s="6"/>
      <c r="G105" s="9"/>
      <c r="H105" s="9"/>
      <c r="I105" s="23"/>
      <c r="J105" s="9"/>
      <c r="K105" s="23"/>
    </row>
    <row r="106" ht="11.25" customHeight="1">
      <c r="B106" s="8"/>
      <c r="C106" s="20">
        <v>40.0</v>
      </c>
      <c r="D106" s="37" t="s">
        <v>16</v>
      </c>
      <c r="E106" s="12"/>
      <c r="F106" s="6"/>
      <c r="G106" s="9"/>
      <c r="H106" s="9"/>
      <c r="I106" s="23"/>
      <c r="J106" s="9"/>
      <c r="K106" s="23"/>
    </row>
    <row r="107" ht="11.25" customHeight="1">
      <c r="B107" s="8"/>
      <c r="C107" s="13"/>
      <c r="D107" s="38"/>
      <c r="E107" s="15"/>
      <c r="F107" s="6"/>
      <c r="G107" s="9"/>
      <c r="H107" s="9"/>
      <c r="I107" s="23"/>
      <c r="J107" s="9"/>
      <c r="K107" s="23"/>
    </row>
    <row r="108" ht="11.25" customHeight="1">
      <c r="B108" s="8"/>
      <c r="C108" s="10"/>
      <c r="D108" s="6"/>
      <c r="E108" s="28"/>
      <c r="F108" s="28"/>
      <c r="G108" s="10"/>
      <c r="H108" s="19"/>
      <c r="I108" s="23"/>
      <c r="J108" s="9"/>
      <c r="K108" s="23"/>
    </row>
    <row r="109" ht="11.25" customHeight="1">
      <c r="B109" s="8"/>
      <c r="C109" s="18"/>
      <c r="E109" s="28"/>
      <c r="F109" s="8"/>
      <c r="G109" s="13"/>
      <c r="H109" s="19"/>
      <c r="I109" s="23"/>
      <c r="J109" s="9"/>
      <c r="K109" s="23"/>
    </row>
    <row r="110" ht="11.25" customHeight="1">
      <c r="A110" s="39" t="s">
        <v>16</v>
      </c>
      <c r="B110" s="2" t="s">
        <v>17</v>
      </c>
      <c r="C110" s="3" t="str">
        <f>+IFERROR(VLOOKUP(B110,'Base D40'!$B$3:$D$47,2,0)," ")</f>
        <v>F. ROMERO</v>
      </c>
      <c r="E110" s="28"/>
      <c r="F110" s="8"/>
      <c r="G110" s="9"/>
      <c r="H110" s="9"/>
      <c r="I110" s="23"/>
      <c r="J110" s="9"/>
      <c r="K110" s="23"/>
    </row>
    <row r="111" ht="11.25" customHeight="1">
      <c r="B111" s="4"/>
      <c r="C111" s="5" t="str">
        <f>+IFERROR(VLOOKUP(B110,'Base D40'!$B$3:$D$47,3,0)," ")</f>
        <v>L. GONZALEZ</v>
      </c>
      <c r="E111" s="28"/>
      <c r="F111" s="8"/>
      <c r="G111" s="9"/>
      <c r="H111" s="9"/>
      <c r="I111" s="23"/>
      <c r="J111" s="9"/>
      <c r="K111" s="23"/>
    </row>
    <row r="112" ht="11.25" customHeight="1">
      <c r="E112" s="28"/>
      <c r="F112" s="8"/>
      <c r="G112" s="9"/>
      <c r="H112" s="9"/>
      <c r="I112" s="23"/>
      <c r="J112" s="9"/>
      <c r="K112" s="23"/>
    </row>
    <row r="113" ht="11.25" customHeight="1">
      <c r="E113" s="28"/>
      <c r="F113" s="8"/>
      <c r="G113" s="10">
        <v>59.0</v>
      </c>
      <c r="H113" s="22"/>
      <c r="I113" s="23"/>
      <c r="J113" s="9"/>
      <c r="K113" s="23"/>
    </row>
    <row r="114" ht="11.25" customHeight="1">
      <c r="E114" s="28"/>
      <c r="F114" s="8"/>
      <c r="G114" s="13"/>
      <c r="H114" s="24"/>
      <c r="I114" s="23"/>
      <c r="J114" s="9"/>
      <c r="K114" s="23"/>
    </row>
    <row r="115" ht="11.25" customHeight="1">
      <c r="E115" s="28"/>
      <c r="F115" s="8"/>
      <c r="G115" s="10"/>
      <c r="H115" s="19"/>
      <c r="I115" s="23"/>
      <c r="J115" s="9"/>
      <c r="K115" s="23"/>
    </row>
    <row r="116" ht="11.25" customHeight="1">
      <c r="E116" s="28"/>
      <c r="F116" s="8"/>
      <c r="G116" s="10"/>
      <c r="H116" s="19"/>
      <c r="I116" s="23"/>
      <c r="J116" s="9"/>
      <c r="K116" s="23"/>
    </row>
    <row r="117" ht="11.25" customHeight="1">
      <c r="B117" s="2" t="s">
        <v>18</v>
      </c>
      <c r="C117" s="3" t="str">
        <f>+IFERROR(VLOOKUP(B117,'Base D40'!$B$3:$D$47,2,0)," ")</f>
        <v>DI LORETO</v>
      </c>
      <c r="E117" s="28"/>
      <c r="F117" s="8"/>
      <c r="G117" s="10"/>
      <c r="H117" s="19"/>
      <c r="I117" s="23"/>
      <c r="J117" s="9"/>
      <c r="K117" s="23"/>
    </row>
    <row r="118" ht="11.25" customHeight="1">
      <c r="B118" s="4"/>
      <c r="C118" s="5" t="str">
        <f>+IFERROR(VLOOKUP(B117,'Base D40'!$B$3:$D$47,3,0)," ")</f>
        <v>ESTRELLA</v>
      </c>
      <c r="E118" s="28"/>
      <c r="F118" s="8"/>
      <c r="G118" s="10"/>
      <c r="H118" s="19"/>
      <c r="I118" s="23"/>
      <c r="J118" s="9"/>
      <c r="K118" s="23"/>
    </row>
    <row r="119" ht="11.25" customHeight="1">
      <c r="B119" s="6"/>
      <c r="C119" s="7"/>
      <c r="E119" s="28"/>
      <c r="F119" s="8"/>
      <c r="G119" s="10"/>
      <c r="H119" s="19"/>
      <c r="I119" s="23"/>
      <c r="J119" s="9"/>
      <c r="K119" s="23"/>
    </row>
    <row r="120" ht="11.25" customHeight="1">
      <c r="B120" s="8"/>
      <c r="C120" s="9"/>
      <c r="E120" s="28"/>
      <c r="F120" s="8"/>
      <c r="G120" s="9"/>
      <c r="H120" s="19"/>
      <c r="I120" s="23"/>
      <c r="J120" s="9"/>
      <c r="K120" s="23"/>
    </row>
    <row r="121" ht="11.25" customHeight="1">
      <c r="B121" s="8"/>
      <c r="C121" s="20">
        <v>41.0</v>
      </c>
      <c r="D121" s="37" t="s">
        <v>16</v>
      </c>
      <c r="E121" s="12"/>
      <c r="F121" s="8"/>
      <c r="G121" s="9"/>
      <c r="H121" s="9"/>
      <c r="I121" s="23"/>
      <c r="J121" s="9"/>
      <c r="K121" s="23"/>
    </row>
    <row r="122" ht="11.25" customHeight="1">
      <c r="B122" s="8"/>
      <c r="C122" s="13"/>
      <c r="D122" s="38"/>
      <c r="E122" s="15"/>
      <c r="F122" s="8"/>
      <c r="G122" s="9"/>
      <c r="H122" s="9"/>
      <c r="I122" s="23"/>
      <c r="J122" s="9"/>
      <c r="K122" s="23"/>
    </row>
    <row r="123" ht="11.25" customHeight="1">
      <c r="B123" s="8"/>
      <c r="C123" s="10"/>
      <c r="D123" s="6"/>
      <c r="E123" s="10"/>
      <c r="F123" s="8"/>
      <c r="G123" s="10"/>
      <c r="H123" s="9"/>
      <c r="I123" s="23"/>
      <c r="J123" s="9"/>
      <c r="K123" s="23"/>
    </row>
    <row r="124" ht="11.25" customHeight="1">
      <c r="B124" s="8"/>
      <c r="C124" s="18"/>
      <c r="D124" s="36"/>
      <c r="E124" s="10"/>
      <c r="F124" s="8"/>
      <c r="G124" s="9"/>
      <c r="H124" s="9"/>
      <c r="I124" s="23"/>
      <c r="J124" s="9"/>
      <c r="K124" s="23"/>
    </row>
    <row r="125" ht="11.25" customHeight="1">
      <c r="B125" s="2" t="s">
        <v>19</v>
      </c>
      <c r="C125" s="3" t="str">
        <f>+IFERROR(VLOOKUP(B125,'Base D40'!$B$3:$D$47,2,0)," ")</f>
        <v>CASTILLO</v>
      </c>
      <c r="D125" s="8"/>
      <c r="E125" s="10"/>
      <c r="F125" s="23"/>
      <c r="G125" s="9"/>
      <c r="H125" s="9"/>
      <c r="I125" s="23"/>
      <c r="J125" s="9"/>
      <c r="K125" s="23"/>
    </row>
    <row r="126" ht="11.25" customHeight="1">
      <c r="B126" s="4"/>
      <c r="C126" s="5" t="str">
        <f>+IFERROR(VLOOKUP(B125,'Base D40'!$B$3:$D$47,3,0)," ")</f>
        <v>ESPINDOLA</v>
      </c>
      <c r="D126" s="8"/>
      <c r="E126" s="10"/>
      <c r="F126" s="23"/>
      <c r="G126" s="9"/>
      <c r="H126" s="9"/>
      <c r="I126" s="23"/>
      <c r="J126" s="9"/>
      <c r="K126" s="23"/>
      <c r="N126" s="40"/>
    </row>
    <row r="127" ht="11.25" customHeight="1">
      <c r="D127" s="8"/>
      <c r="E127" s="10">
        <v>54.0</v>
      </c>
      <c r="F127" s="37" t="s">
        <v>16</v>
      </c>
      <c r="G127" s="12"/>
      <c r="H127" s="9"/>
      <c r="I127" s="23"/>
      <c r="J127" s="9"/>
      <c r="K127" s="23"/>
      <c r="N127" s="40"/>
    </row>
    <row r="128" ht="11.25" customHeight="1">
      <c r="D128" s="8"/>
      <c r="E128" s="13"/>
      <c r="F128" s="38"/>
      <c r="G128" s="15"/>
      <c r="H128" s="9"/>
      <c r="I128" s="23"/>
      <c r="J128" s="9"/>
      <c r="K128" s="23"/>
      <c r="N128" s="40"/>
    </row>
    <row r="129" ht="11.25" customHeight="1">
      <c r="B129" s="2" t="s">
        <v>20</v>
      </c>
      <c r="C129" s="3" t="str">
        <f>+IFERROR(VLOOKUP(B129,'Base D40'!$B$3:$D$47,2,0)," ")</f>
        <v>FREZZA</v>
      </c>
      <c r="D129" s="8"/>
      <c r="E129" s="10"/>
      <c r="F129" s="8"/>
      <c r="G129" s="23"/>
      <c r="H129" s="9"/>
      <c r="I129" s="23"/>
      <c r="J129" s="9"/>
      <c r="K129" s="23"/>
      <c r="N129" s="40"/>
    </row>
    <row r="130" ht="11.25" customHeight="1">
      <c r="B130" s="4"/>
      <c r="C130" s="5" t="str">
        <f>+IFERROR(VLOOKUP(B129,'Base D40'!$B$3:$D$47,3,0)," ")</f>
        <v>TOUCEDA</v>
      </c>
      <c r="D130" s="8"/>
      <c r="E130" s="10"/>
      <c r="F130" s="8"/>
      <c r="G130" s="23"/>
      <c r="H130" s="9"/>
      <c r="I130" s="23"/>
      <c r="J130" s="9"/>
      <c r="K130" s="23"/>
      <c r="N130" s="40"/>
    </row>
    <row r="131" ht="11.25" customHeight="1">
      <c r="B131" s="6"/>
      <c r="C131" s="7"/>
      <c r="D131" s="8"/>
      <c r="E131" s="10"/>
      <c r="F131" s="8"/>
      <c r="G131" s="23"/>
      <c r="H131" s="9"/>
      <c r="I131" s="23"/>
      <c r="J131" s="9"/>
      <c r="K131" s="23"/>
      <c r="N131" s="40"/>
    </row>
    <row r="132" ht="11.25" customHeight="1">
      <c r="B132" s="8"/>
      <c r="C132" s="9"/>
      <c r="D132" s="8"/>
      <c r="E132" s="18"/>
      <c r="F132" s="8"/>
      <c r="G132" s="23"/>
      <c r="H132" s="9"/>
      <c r="I132" s="23"/>
      <c r="J132" s="9"/>
      <c r="K132" s="23"/>
      <c r="N132" s="40"/>
    </row>
    <row r="133" ht="11.25" customHeight="1">
      <c r="B133" s="8"/>
      <c r="C133" s="20">
        <v>42.0</v>
      </c>
      <c r="D133" s="37" t="s">
        <v>16</v>
      </c>
      <c r="E133" s="12"/>
      <c r="F133" s="8"/>
      <c r="G133" s="23"/>
      <c r="H133" s="9"/>
      <c r="I133" s="23"/>
      <c r="J133" s="9"/>
      <c r="K133" s="23"/>
      <c r="N133" s="40"/>
    </row>
    <row r="134" ht="11.25" customHeight="1">
      <c r="B134" s="8"/>
      <c r="C134" s="13"/>
      <c r="D134" s="38"/>
      <c r="E134" s="15"/>
      <c r="F134" s="8"/>
      <c r="G134" s="23"/>
      <c r="H134" s="9"/>
      <c r="I134" s="23"/>
      <c r="J134" s="9"/>
      <c r="K134" s="23"/>
      <c r="N134" s="40"/>
    </row>
    <row r="135" ht="11.25" customHeight="1">
      <c r="B135" s="8"/>
      <c r="C135" s="10"/>
      <c r="D135" s="6"/>
      <c r="E135" s="23"/>
      <c r="F135" s="8"/>
      <c r="G135" s="23"/>
      <c r="H135" s="9"/>
      <c r="I135" s="23"/>
      <c r="J135" s="9"/>
      <c r="K135" s="23"/>
      <c r="N135" s="40"/>
    </row>
    <row r="136" ht="11.25" customHeight="1">
      <c r="B136" s="8"/>
      <c r="C136" s="18"/>
      <c r="D136" s="6"/>
      <c r="E136" s="23"/>
      <c r="F136" s="8"/>
      <c r="G136" s="23"/>
      <c r="H136" s="9"/>
      <c r="I136" s="23"/>
      <c r="J136" s="9"/>
      <c r="K136" s="23"/>
      <c r="N136" s="40"/>
    </row>
    <row r="137" ht="11.25" customHeight="1">
      <c r="B137" s="2" t="s">
        <v>21</v>
      </c>
      <c r="C137" s="3" t="str">
        <f>+IFERROR(VLOOKUP(B137,'Base D40'!$B$3:$D$47,2,0)," ")</f>
        <v>MAZZEI</v>
      </c>
      <c r="D137" s="6"/>
      <c r="E137" s="23"/>
      <c r="F137" s="8"/>
      <c r="G137" s="23"/>
      <c r="H137" s="9"/>
      <c r="I137" s="23"/>
      <c r="J137" s="9"/>
      <c r="K137" s="23"/>
      <c r="N137" s="40"/>
    </row>
    <row r="138" ht="11.25" customHeight="1">
      <c r="B138" s="4"/>
      <c r="C138" s="5" t="str">
        <f>+IFERROR(VLOOKUP(B137,'Base D40'!$B$3:$D$47,3,0)," ")</f>
        <v>MANDILE</v>
      </c>
      <c r="D138" s="6"/>
      <c r="E138" s="23"/>
      <c r="F138" s="8"/>
      <c r="G138" s="23"/>
      <c r="H138" s="9"/>
      <c r="I138" s="23"/>
      <c r="J138" s="9"/>
      <c r="K138" s="23"/>
      <c r="N138" s="40"/>
    </row>
    <row r="139" ht="11.25" customHeight="1">
      <c r="D139" s="6"/>
      <c r="E139" s="23"/>
      <c r="F139" s="8"/>
      <c r="G139" s="23"/>
      <c r="H139" s="9"/>
      <c r="I139" s="23"/>
      <c r="J139" s="9"/>
      <c r="K139" s="23"/>
      <c r="N139" s="40"/>
    </row>
    <row r="140" ht="11.25" customHeight="1">
      <c r="D140" s="6"/>
      <c r="E140" s="23"/>
      <c r="F140" s="8"/>
      <c r="G140" s="23"/>
      <c r="H140" s="9"/>
      <c r="I140" s="23"/>
      <c r="J140" s="9"/>
      <c r="K140" s="23"/>
      <c r="N140" s="40"/>
    </row>
    <row r="141" ht="11.25" customHeight="1">
      <c r="D141" s="6"/>
      <c r="E141" s="23"/>
      <c r="F141" s="8"/>
      <c r="G141" s="23"/>
      <c r="H141" s="9"/>
      <c r="I141" s="23"/>
      <c r="J141" s="9"/>
      <c r="K141" s="23"/>
      <c r="N141" s="40"/>
    </row>
    <row r="142" ht="11.25" customHeight="1">
      <c r="D142" s="6"/>
      <c r="E142" s="23"/>
      <c r="F142" s="8"/>
      <c r="G142" s="23"/>
      <c r="H142" s="9"/>
      <c r="I142" s="23"/>
      <c r="J142" s="9"/>
      <c r="K142" s="23"/>
      <c r="N142" s="40"/>
    </row>
    <row r="143" ht="11.25" customHeight="1">
      <c r="D143" s="6"/>
      <c r="E143" s="23"/>
      <c r="F143" s="8"/>
      <c r="G143" s="23"/>
      <c r="H143" s="9"/>
      <c r="I143" s="23"/>
      <c r="J143" s="9"/>
      <c r="K143" s="23"/>
      <c r="N143" s="40"/>
    </row>
    <row r="144" ht="11.25" customHeight="1">
      <c r="E144" s="23"/>
      <c r="F144" s="8"/>
      <c r="G144" s="23"/>
      <c r="H144" s="9"/>
      <c r="I144" s="23"/>
      <c r="J144" s="9"/>
      <c r="K144" s="23"/>
      <c r="N144" s="40"/>
    </row>
    <row r="145" ht="11.25" customHeight="1">
      <c r="E145" s="28"/>
      <c r="F145" s="8"/>
      <c r="G145" s="23"/>
      <c r="H145" s="10">
        <v>62.0</v>
      </c>
      <c r="I145" s="41"/>
      <c r="J145" s="18"/>
      <c r="K145" s="23"/>
      <c r="N145" s="40"/>
    </row>
    <row r="146" ht="11.25" customHeight="1">
      <c r="B146" s="2" t="s">
        <v>22</v>
      </c>
      <c r="C146" s="3" t="str">
        <f>+IFERROR(VLOOKUP(B146,'Base D40'!$B$3:$D$47,2,0)," ")</f>
        <v>GAREIS</v>
      </c>
      <c r="E146" s="28"/>
      <c r="F146" s="8"/>
      <c r="G146" s="23"/>
      <c r="H146" s="13"/>
      <c r="I146" s="23"/>
      <c r="K146" s="23"/>
      <c r="N146" s="40"/>
    </row>
    <row r="147" ht="11.25" customHeight="1">
      <c r="B147" s="4"/>
      <c r="C147" s="5" t="str">
        <f>+IFERROR(VLOOKUP(B146,'Base D40'!$B$3:$D$47,3,0)," ")</f>
        <v>SZYLKO</v>
      </c>
      <c r="E147" s="28"/>
      <c r="F147" s="8"/>
      <c r="G147" s="23"/>
      <c r="H147" s="9"/>
      <c r="I147" s="23"/>
      <c r="K147" s="23"/>
      <c r="N147" s="40"/>
    </row>
    <row r="148" ht="11.25" customHeight="1">
      <c r="B148" s="6"/>
      <c r="C148" s="9"/>
      <c r="E148" s="28"/>
      <c r="F148" s="8"/>
      <c r="G148" s="23"/>
      <c r="H148" s="9"/>
      <c r="I148" s="23"/>
      <c r="K148" s="23"/>
    </row>
    <row r="149" ht="11.25" customHeight="1">
      <c r="B149" s="36"/>
      <c r="C149" s="9"/>
      <c r="E149" s="28"/>
      <c r="F149" s="8"/>
      <c r="G149" s="23"/>
      <c r="H149" s="9"/>
      <c r="K149" s="23"/>
    </row>
    <row r="150" ht="11.25" customHeight="1">
      <c r="B150" s="8"/>
      <c r="C150" s="20">
        <v>43.0</v>
      </c>
      <c r="D150" s="37"/>
      <c r="E150" s="12"/>
      <c r="F150" s="8"/>
      <c r="G150" s="23"/>
      <c r="H150" s="9"/>
      <c r="I150" s="23"/>
      <c r="J150" s="23"/>
      <c r="K150" s="23"/>
    </row>
    <row r="151" ht="11.25" customHeight="1">
      <c r="B151" s="8"/>
      <c r="C151" s="13"/>
      <c r="D151" s="38"/>
      <c r="E151" s="15"/>
      <c r="F151" s="8"/>
      <c r="G151" s="23"/>
      <c r="H151" s="9"/>
      <c r="I151" s="23"/>
      <c r="J151" s="23"/>
      <c r="K151" s="23"/>
    </row>
    <row r="152" ht="11.25" customHeight="1">
      <c r="B152" s="8"/>
      <c r="C152" s="10"/>
      <c r="D152" s="27"/>
      <c r="E152" s="7"/>
      <c r="F152" s="8"/>
      <c r="G152" s="23"/>
      <c r="H152" s="9"/>
      <c r="I152" s="23"/>
      <c r="J152" s="23"/>
      <c r="K152" s="23"/>
    </row>
    <row r="153" ht="11.25" customHeight="1">
      <c r="B153" s="8"/>
      <c r="C153" s="18"/>
      <c r="D153" s="23"/>
      <c r="E153" s="9"/>
      <c r="F153" s="8"/>
      <c r="G153" s="23"/>
      <c r="H153" s="9"/>
      <c r="I153" s="23"/>
      <c r="J153" s="23"/>
      <c r="K153" s="23"/>
    </row>
    <row r="154" ht="11.25" customHeight="1">
      <c r="B154" s="2" t="s">
        <v>23</v>
      </c>
      <c r="C154" s="3" t="str">
        <f>+IFERROR(VLOOKUP(B154,'Base D40'!$B$3:$D$47,2,0)," ")</f>
        <v>MENDEZ</v>
      </c>
      <c r="D154" s="23"/>
      <c r="E154" s="9"/>
      <c r="F154" s="8"/>
      <c r="G154" s="23"/>
      <c r="H154" s="9"/>
      <c r="I154" s="23"/>
      <c r="J154" s="23"/>
      <c r="K154" s="23"/>
    </row>
    <row r="155" ht="11.25" customHeight="1">
      <c r="B155" s="4"/>
      <c r="C155" s="5" t="str">
        <f>+IFERROR(VLOOKUP(B154,'Base D40'!$B$3:$D$47,3,0)," ")</f>
        <v>SOSA</v>
      </c>
      <c r="D155" s="23"/>
      <c r="E155" s="9"/>
      <c r="F155" s="8"/>
      <c r="G155" s="23"/>
      <c r="H155" s="9"/>
      <c r="I155" s="23"/>
      <c r="J155" s="23"/>
      <c r="K155" s="23"/>
    </row>
    <row r="156" ht="11.25" customHeight="1">
      <c r="D156" s="23"/>
      <c r="E156" s="9"/>
      <c r="H156" s="9"/>
      <c r="I156" s="23"/>
      <c r="J156" s="23"/>
      <c r="K156" s="23"/>
    </row>
    <row r="157" ht="11.25" customHeight="1">
      <c r="D157" s="23"/>
      <c r="E157" s="20">
        <v>55.0</v>
      </c>
      <c r="F157" s="11" t="s">
        <v>16</v>
      </c>
      <c r="G157" s="12"/>
      <c r="H157" s="9"/>
      <c r="I157" s="23"/>
      <c r="J157" s="23"/>
      <c r="K157" s="23"/>
    </row>
    <row r="158" ht="11.25" customHeight="1">
      <c r="D158" s="23"/>
      <c r="E158" s="13"/>
      <c r="F158" s="14"/>
      <c r="G158" s="15"/>
      <c r="H158" s="9"/>
      <c r="I158" s="23"/>
      <c r="J158" s="23"/>
      <c r="K158" s="23"/>
    </row>
    <row r="159" ht="11.25" customHeight="1">
      <c r="D159" s="23"/>
      <c r="E159" s="10"/>
      <c r="F159" s="23"/>
      <c r="G159" s="9"/>
      <c r="H159" s="9"/>
      <c r="I159" s="23"/>
      <c r="J159" s="23"/>
      <c r="K159" s="23"/>
    </row>
    <row r="160" ht="11.25" customHeight="1">
      <c r="B160" s="2" t="s">
        <v>24</v>
      </c>
      <c r="C160" s="3" t="str">
        <f>+IFERROR(VLOOKUP(B160,'Base D40'!$B$3:$D$47,2,0)," ")</f>
        <v>SANDOVAL</v>
      </c>
      <c r="D160" s="23"/>
      <c r="E160" s="9"/>
      <c r="F160" s="23"/>
      <c r="G160" s="9"/>
      <c r="H160" s="10"/>
      <c r="I160" s="23"/>
      <c r="J160" s="23"/>
      <c r="K160" s="23"/>
    </row>
    <row r="161" ht="11.25" customHeight="1">
      <c r="B161" s="4"/>
      <c r="C161" s="5" t="str">
        <f>+IFERROR(VLOOKUP(B160,'Base D40'!$B$3:$D$47,3,0)," ")</f>
        <v>SILVA</v>
      </c>
      <c r="D161" s="23"/>
      <c r="E161" s="9"/>
      <c r="F161" s="23"/>
      <c r="G161" s="9"/>
      <c r="H161" s="9"/>
      <c r="I161" s="23"/>
      <c r="J161" s="23"/>
      <c r="K161" s="23"/>
    </row>
    <row r="162" ht="11.25" customHeight="1">
      <c r="B162" s="6"/>
      <c r="C162" s="9"/>
      <c r="D162" s="23"/>
      <c r="E162" s="9"/>
      <c r="F162" s="23"/>
      <c r="G162" s="9"/>
      <c r="H162" s="9"/>
      <c r="I162" s="23"/>
      <c r="J162" s="23"/>
      <c r="K162" s="23"/>
    </row>
    <row r="163" ht="11.25" customHeight="1">
      <c r="B163" s="36"/>
      <c r="C163" s="9"/>
      <c r="D163" s="41"/>
      <c r="E163" s="18"/>
      <c r="F163" s="23"/>
      <c r="G163" s="9"/>
      <c r="H163" s="9"/>
      <c r="I163" s="23"/>
      <c r="J163" s="23"/>
      <c r="K163" s="23"/>
    </row>
    <row r="164" ht="11.25" customHeight="1">
      <c r="B164" s="8"/>
      <c r="C164" s="20">
        <v>44.0</v>
      </c>
      <c r="D164" s="37"/>
      <c r="E164" s="12"/>
      <c r="F164" s="23"/>
      <c r="G164" s="9"/>
      <c r="H164" s="9"/>
      <c r="I164" s="23"/>
      <c r="J164" s="23"/>
      <c r="K164" s="23"/>
    </row>
    <row r="165" ht="11.25" customHeight="1">
      <c r="B165" s="8"/>
      <c r="C165" s="13"/>
      <c r="D165" s="38"/>
      <c r="E165" s="15"/>
      <c r="F165" s="36"/>
      <c r="G165" s="9"/>
      <c r="H165" s="9"/>
      <c r="I165" s="23"/>
      <c r="J165" s="23"/>
      <c r="K165" s="23"/>
    </row>
    <row r="166" ht="11.25" customHeight="1">
      <c r="B166" s="8"/>
      <c r="C166" s="10"/>
      <c r="D166" s="42"/>
      <c r="F166" s="8"/>
      <c r="G166" s="9"/>
      <c r="H166" s="9"/>
      <c r="I166" s="23"/>
      <c r="J166" s="23"/>
      <c r="K166" s="23"/>
    </row>
    <row r="167" ht="11.25" customHeight="1">
      <c r="B167" s="8"/>
      <c r="C167" s="18"/>
      <c r="D167" s="43"/>
      <c r="F167" s="8"/>
      <c r="G167" s="9"/>
      <c r="H167" s="9"/>
      <c r="I167" s="23"/>
      <c r="J167" s="23"/>
      <c r="K167" s="23"/>
    </row>
    <row r="168" ht="11.25" customHeight="1">
      <c r="B168" s="2" t="s">
        <v>25</v>
      </c>
      <c r="C168" s="3" t="str">
        <f>+IFERROR(VLOOKUP(B168,'Base D40'!$B$3:$D$47,2,0)," ")</f>
        <v>C. ZAMORANO</v>
      </c>
      <c r="D168" s="6"/>
      <c r="E168" s="8"/>
      <c r="F168" s="8"/>
      <c r="G168" s="44"/>
      <c r="H168" s="9"/>
      <c r="I168" s="23"/>
      <c r="J168" s="23"/>
      <c r="K168" s="23"/>
    </row>
    <row r="169" ht="11.25" customHeight="1">
      <c r="B169" s="4"/>
      <c r="C169" s="5" t="str">
        <f>+IFERROR(VLOOKUP(B168,'Base D40'!$B$3:$D$47,3,0)," ")</f>
        <v>N. MURATORE</v>
      </c>
      <c r="D169" s="6"/>
      <c r="E169" s="8"/>
      <c r="F169" s="8"/>
      <c r="G169" s="44"/>
      <c r="H169" s="9"/>
      <c r="I169" s="23"/>
      <c r="J169" s="23"/>
      <c r="K169" s="23"/>
    </row>
    <row r="170" ht="11.25" customHeight="1">
      <c r="D170" s="6"/>
      <c r="E170" s="8"/>
      <c r="F170" s="8"/>
      <c r="G170" s="44"/>
      <c r="H170" s="9"/>
      <c r="I170" s="23"/>
      <c r="J170" s="23"/>
      <c r="K170" s="23"/>
    </row>
    <row r="171" ht="11.25" customHeight="1">
      <c r="D171" s="6"/>
      <c r="E171" s="8"/>
      <c r="F171" s="8"/>
      <c r="G171" s="44"/>
      <c r="H171" s="18"/>
      <c r="I171" s="23"/>
      <c r="J171" s="23"/>
      <c r="K171" s="23"/>
    </row>
    <row r="172" ht="11.25" customHeight="1">
      <c r="D172" s="6"/>
      <c r="E172" s="8"/>
      <c r="F172" s="8"/>
      <c r="G172" s="10">
        <v>60.0</v>
      </c>
      <c r="H172" s="22"/>
      <c r="I172" s="23"/>
      <c r="J172" s="23"/>
      <c r="K172" s="23"/>
    </row>
    <row r="173" ht="11.25" customHeight="1">
      <c r="D173" s="6"/>
      <c r="E173" s="8"/>
      <c r="F173" s="8"/>
      <c r="G173" s="13"/>
      <c r="H173" s="24"/>
      <c r="I173" s="23"/>
      <c r="J173" s="23"/>
      <c r="K173" s="23"/>
    </row>
    <row r="174" ht="11.25" customHeight="1">
      <c r="D174" s="6"/>
      <c r="E174" s="8"/>
      <c r="F174" s="8"/>
      <c r="G174" s="9"/>
      <c r="I174" s="23"/>
      <c r="J174" s="23"/>
      <c r="K174" s="23"/>
    </row>
    <row r="175" ht="11.25" customHeight="1">
      <c r="D175" s="6"/>
      <c r="E175" s="23"/>
      <c r="F175" s="8"/>
      <c r="G175" s="44"/>
      <c r="I175" s="23"/>
      <c r="J175" s="23"/>
      <c r="K175" s="23"/>
    </row>
    <row r="176" ht="11.25" customHeight="1">
      <c r="B176" s="2" t="s">
        <v>26</v>
      </c>
      <c r="C176" s="3" t="str">
        <f>+IFERROR(VLOOKUP(B176,'Base D40'!$B$3:$D$47,2,0)," ")</f>
        <v>BENITEZ</v>
      </c>
      <c r="D176" s="6"/>
      <c r="E176" s="23"/>
      <c r="F176" s="8"/>
      <c r="G176" s="9"/>
      <c r="I176" s="23"/>
      <c r="J176" s="23"/>
      <c r="K176" s="23"/>
    </row>
    <row r="177" ht="11.25" customHeight="1">
      <c r="B177" s="4"/>
      <c r="C177" s="5" t="str">
        <f>+IFERROR(VLOOKUP(B176,'Base D40'!$B$3:$D$47,3,0)," ")</f>
        <v>MALDONADO</v>
      </c>
      <c r="D177" s="6"/>
      <c r="E177" s="23"/>
      <c r="F177" s="8"/>
      <c r="G177" s="9"/>
      <c r="I177" s="23"/>
      <c r="J177" s="23"/>
      <c r="K177" s="23"/>
    </row>
    <row r="178" ht="11.25" customHeight="1">
      <c r="B178" s="6"/>
      <c r="C178" s="9"/>
      <c r="D178" s="6"/>
      <c r="E178" s="23"/>
      <c r="F178" s="8"/>
      <c r="G178" s="10"/>
      <c r="I178" s="23"/>
      <c r="J178" s="23"/>
      <c r="K178" s="23"/>
    </row>
    <row r="179" ht="11.25" customHeight="1">
      <c r="B179" s="36"/>
      <c r="C179" s="9"/>
      <c r="D179" s="6"/>
      <c r="E179" s="23"/>
      <c r="F179" s="8"/>
      <c r="G179" s="10"/>
      <c r="I179" s="23"/>
      <c r="J179" s="23"/>
      <c r="K179" s="23"/>
    </row>
    <row r="180" ht="11.25" customHeight="1">
      <c r="B180" s="8"/>
      <c r="C180" s="20">
        <v>45.0</v>
      </c>
      <c r="D180" s="37" t="s">
        <v>16</v>
      </c>
      <c r="E180" s="12"/>
      <c r="F180" s="8"/>
      <c r="G180" s="9"/>
      <c r="I180" s="23"/>
      <c r="J180" s="23"/>
      <c r="K180" s="23"/>
    </row>
    <row r="181" ht="11.25" customHeight="1">
      <c r="B181" s="8"/>
      <c r="C181" s="13"/>
      <c r="D181" s="38"/>
      <c r="E181" s="15"/>
      <c r="F181" s="8"/>
      <c r="G181" s="10"/>
      <c r="H181" s="23"/>
      <c r="I181" s="23"/>
      <c r="J181" s="23"/>
      <c r="K181" s="23"/>
    </row>
    <row r="182" ht="11.25" customHeight="1">
      <c r="B182" s="8"/>
      <c r="C182" s="10"/>
      <c r="D182" s="6"/>
      <c r="E182" s="9"/>
      <c r="F182" s="8"/>
      <c r="G182" s="10"/>
      <c r="H182" s="23"/>
      <c r="I182" s="23"/>
      <c r="J182" s="23"/>
      <c r="K182" s="23"/>
    </row>
    <row r="183" ht="11.25" customHeight="1">
      <c r="B183" s="8"/>
      <c r="C183" s="18"/>
      <c r="D183" s="36"/>
      <c r="E183" s="9"/>
      <c r="F183" s="25"/>
      <c r="G183" s="18"/>
      <c r="H183" s="23"/>
      <c r="I183" s="23"/>
      <c r="J183" s="23"/>
      <c r="K183" s="23"/>
    </row>
    <row r="184" ht="11.25" customHeight="1">
      <c r="B184" s="2" t="s">
        <v>27</v>
      </c>
      <c r="C184" s="3" t="str">
        <f>+IFERROR(VLOOKUP(B184,'Base D40'!$B$3:$D$47,2,0)," ")</f>
        <v>MAYA</v>
      </c>
      <c r="D184" s="8"/>
      <c r="E184" s="10">
        <v>56.0</v>
      </c>
      <c r="F184" s="37" t="s">
        <v>16</v>
      </c>
      <c r="G184" s="12"/>
      <c r="H184" s="23"/>
      <c r="I184" s="23"/>
      <c r="J184" s="23"/>
      <c r="K184" s="23"/>
    </row>
    <row r="185" ht="11.25" customHeight="1">
      <c r="B185" s="4"/>
      <c r="C185" s="5" t="str">
        <f>+IFERROR(VLOOKUP(B184,'Base D40'!$B$3:$D$47,3,0)," ")</f>
        <v>LOBOS</v>
      </c>
      <c r="D185" s="8"/>
      <c r="E185" s="13"/>
      <c r="F185" s="38"/>
      <c r="G185" s="15"/>
      <c r="H185" s="23"/>
      <c r="I185" s="23"/>
      <c r="J185" s="23"/>
      <c r="K185" s="23"/>
    </row>
    <row r="186" ht="11.25" customHeight="1">
      <c r="D186" s="8"/>
      <c r="E186" s="10"/>
      <c r="F186" s="45"/>
      <c r="G186" s="23"/>
      <c r="H186" s="23"/>
      <c r="I186" s="23"/>
    </row>
    <row r="187" ht="11.25" customHeight="1">
      <c r="D187" s="8"/>
      <c r="E187" s="18"/>
      <c r="F187" s="45"/>
      <c r="G187" s="45"/>
      <c r="H187" s="45"/>
    </row>
    <row r="188" ht="11.25" customHeight="1">
      <c r="A188" s="46"/>
      <c r="B188" s="46"/>
      <c r="D188" s="2" t="s">
        <v>28</v>
      </c>
      <c r="E188" s="3" t="str">
        <f>+IFERROR(VLOOKUP(D188,'Base D40'!$B$3:$D$47,2,0)," ")</f>
        <v>LOREFICE</v>
      </c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1.25" customHeight="1">
      <c r="C189" s="46"/>
      <c r="D189" s="4"/>
      <c r="E189" s="5" t="str">
        <f>+IFERROR(VLOOKUP(D188,'Base D40'!$B$3:$D$47,3,0)," ")</f>
        <v>REYNOSO</v>
      </c>
      <c r="F189" s="46"/>
    </row>
    <row r="190" ht="11.25" customHeight="1"/>
    <row r="191" ht="11.25" customHeight="1"/>
    <row r="192" ht="14.25" customHeight="1">
      <c r="G192" s="47" t="s">
        <v>29</v>
      </c>
      <c r="H192" s="48" t="s">
        <v>30</v>
      </c>
      <c r="I192" s="48" t="s">
        <v>31</v>
      </c>
    </row>
    <row r="193" ht="14.25" customHeight="1">
      <c r="G193" s="49">
        <v>34.0</v>
      </c>
      <c r="H193" s="50"/>
      <c r="I193" s="51" t="s">
        <v>32</v>
      </c>
    </row>
    <row r="194" ht="14.25" customHeight="1">
      <c r="G194" s="49">
        <v>35.0</v>
      </c>
      <c r="H194" s="50"/>
      <c r="I194" s="51" t="s">
        <v>32</v>
      </c>
    </row>
    <row r="195" ht="14.25" customHeight="1">
      <c r="G195" s="49">
        <v>36.0</v>
      </c>
      <c r="H195" s="50"/>
      <c r="I195" s="51" t="s">
        <v>32</v>
      </c>
    </row>
    <row r="196" ht="14.25" customHeight="1">
      <c r="G196" s="49">
        <v>37.0</v>
      </c>
      <c r="H196" s="50"/>
      <c r="I196" s="51" t="s">
        <v>32</v>
      </c>
    </row>
    <row r="197" ht="14.25" customHeight="1">
      <c r="G197" s="49">
        <v>38.0</v>
      </c>
      <c r="H197" s="50"/>
      <c r="I197" s="51" t="s">
        <v>32</v>
      </c>
    </row>
    <row r="198" ht="14.25" customHeight="1">
      <c r="G198" s="49">
        <v>39.0</v>
      </c>
      <c r="H198" s="50"/>
      <c r="I198" s="51" t="s">
        <v>32</v>
      </c>
    </row>
    <row r="199" ht="14.25" customHeight="1">
      <c r="G199" s="49">
        <v>40.0</v>
      </c>
      <c r="H199" s="50"/>
      <c r="I199" s="51" t="s">
        <v>32</v>
      </c>
    </row>
    <row r="200" ht="14.25" customHeight="1">
      <c r="G200" s="49">
        <v>41.0</v>
      </c>
      <c r="H200" s="50"/>
      <c r="I200" s="51" t="s">
        <v>32</v>
      </c>
    </row>
    <row r="201" ht="14.25" customHeight="1">
      <c r="G201" s="49">
        <v>42.0</v>
      </c>
      <c r="H201" s="50"/>
      <c r="I201" s="51" t="s">
        <v>32</v>
      </c>
    </row>
    <row r="202" ht="14.25" customHeight="1">
      <c r="G202" s="49">
        <v>43.0</v>
      </c>
      <c r="H202" s="50"/>
      <c r="I202" s="51" t="s">
        <v>32</v>
      </c>
    </row>
    <row r="203" ht="14.25" customHeight="1">
      <c r="G203" s="49">
        <v>49.0</v>
      </c>
      <c r="H203" s="50"/>
      <c r="I203" s="51" t="s">
        <v>32</v>
      </c>
    </row>
    <row r="204" ht="14.25" customHeight="1">
      <c r="G204" s="49">
        <v>50.0</v>
      </c>
      <c r="H204" s="50"/>
      <c r="I204" s="51" t="s">
        <v>32</v>
      </c>
    </row>
    <row r="205" ht="14.25" customHeight="1">
      <c r="G205" s="49">
        <v>51.0</v>
      </c>
      <c r="H205" s="50"/>
      <c r="I205" s="51" t="s">
        <v>32</v>
      </c>
    </row>
    <row r="206" ht="14.25" customHeight="1">
      <c r="G206" s="49">
        <v>52.0</v>
      </c>
      <c r="H206" s="50"/>
      <c r="I206" s="51" t="s">
        <v>32</v>
      </c>
    </row>
    <row r="207" ht="14.25" customHeight="1">
      <c r="G207" s="49">
        <v>53.0</v>
      </c>
      <c r="H207" s="50"/>
      <c r="I207" s="51" t="s">
        <v>32</v>
      </c>
    </row>
    <row r="208" ht="14.25" customHeight="1">
      <c r="G208" s="49">
        <v>54.0</v>
      </c>
      <c r="H208" s="50"/>
      <c r="I208" s="51" t="s">
        <v>32</v>
      </c>
    </row>
    <row r="209" ht="14.25" customHeight="1">
      <c r="G209" s="49">
        <v>55.0</v>
      </c>
      <c r="H209" s="52"/>
      <c r="I209" s="51" t="s">
        <v>32</v>
      </c>
    </row>
    <row r="210" ht="14.25" customHeight="1">
      <c r="G210" s="49">
        <v>56.0</v>
      </c>
      <c r="H210" s="52"/>
      <c r="I210" s="51" t="s">
        <v>32</v>
      </c>
    </row>
    <row r="211" ht="14.25" customHeight="1">
      <c r="G211" s="49">
        <v>57.0</v>
      </c>
      <c r="H211" s="52"/>
      <c r="I211" s="51" t="s">
        <v>32</v>
      </c>
    </row>
    <row r="212" ht="14.25" customHeight="1">
      <c r="G212" s="49">
        <v>58.0</v>
      </c>
      <c r="H212" s="52"/>
      <c r="I212" s="51" t="s">
        <v>32</v>
      </c>
    </row>
    <row r="213" ht="14.25" customHeight="1">
      <c r="G213" s="49">
        <v>59.0</v>
      </c>
      <c r="H213" s="52"/>
      <c r="I213" s="51" t="s">
        <v>32</v>
      </c>
    </row>
    <row r="214" ht="14.25" customHeight="1">
      <c r="G214" s="49">
        <v>60.0</v>
      </c>
      <c r="H214" s="52"/>
      <c r="I214" s="51" t="s">
        <v>32</v>
      </c>
    </row>
    <row r="215" ht="14.25" customHeight="1">
      <c r="G215" s="49">
        <v>61.0</v>
      </c>
      <c r="H215" s="52"/>
      <c r="I215" s="51" t="s">
        <v>32</v>
      </c>
    </row>
    <row r="216" ht="14.25" customHeight="1">
      <c r="G216" s="49">
        <v>62.0</v>
      </c>
      <c r="H216" s="52"/>
      <c r="I216" s="51" t="s">
        <v>32</v>
      </c>
    </row>
    <row r="217" ht="14.25" customHeight="1">
      <c r="G217" s="49">
        <v>64.0</v>
      </c>
      <c r="H217" s="52"/>
      <c r="I217" s="51" t="s">
        <v>32</v>
      </c>
    </row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75">
    <mergeCell ref="B77:B78"/>
    <mergeCell ref="B85:B86"/>
    <mergeCell ref="B102:B103"/>
    <mergeCell ref="C106:C107"/>
    <mergeCell ref="B110:B111"/>
    <mergeCell ref="B117:B118"/>
    <mergeCell ref="C121:C122"/>
    <mergeCell ref="B160:B161"/>
    <mergeCell ref="B168:B169"/>
    <mergeCell ref="B176:B177"/>
    <mergeCell ref="C180:C181"/>
    <mergeCell ref="B184:B185"/>
    <mergeCell ref="B125:B126"/>
    <mergeCell ref="B129:B130"/>
    <mergeCell ref="C133:C134"/>
    <mergeCell ref="B137:B138"/>
    <mergeCell ref="C150:C151"/>
    <mergeCell ref="B154:B155"/>
    <mergeCell ref="C164:C165"/>
    <mergeCell ref="D180:E181"/>
    <mergeCell ref="E184:E185"/>
    <mergeCell ref="F184:G185"/>
    <mergeCell ref="D188:D189"/>
    <mergeCell ref="H145:H146"/>
    <mergeCell ref="B146:B147"/>
    <mergeCell ref="D150:E151"/>
    <mergeCell ref="F157:G158"/>
    <mergeCell ref="D164:E165"/>
    <mergeCell ref="D166:E167"/>
    <mergeCell ref="G172:G173"/>
    <mergeCell ref="E157:E158"/>
    <mergeCell ref="F20:G21"/>
    <mergeCell ref="G30:G31"/>
    <mergeCell ref="L5:N6"/>
    <mergeCell ref="D16:D17"/>
    <mergeCell ref="B20:B21"/>
    <mergeCell ref="E20:E21"/>
    <mergeCell ref="C24:C25"/>
    <mergeCell ref="D24:E25"/>
    <mergeCell ref="B28:B29"/>
    <mergeCell ref="B32:B33"/>
    <mergeCell ref="C36:C37"/>
    <mergeCell ref="D36:E37"/>
    <mergeCell ref="B40:B41"/>
    <mergeCell ref="E40:E41"/>
    <mergeCell ref="F40:G41"/>
    <mergeCell ref="B46:B47"/>
    <mergeCell ref="C50:C51"/>
    <mergeCell ref="D50:E51"/>
    <mergeCell ref="H53:H54"/>
    <mergeCell ref="B54:B55"/>
    <mergeCell ref="D58:D59"/>
    <mergeCell ref="E62:E63"/>
    <mergeCell ref="F62:G63"/>
    <mergeCell ref="B62:B63"/>
    <mergeCell ref="C66:C67"/>
    <mergeCell ref="D66:E67"/>
    <mergeCell ref="B70:B71"/>
    <mergeCell ref="G74:G75"/>
    <mergeCell ref="C81:C82"/>
    <mergeCell ref="D81:E82"/>
    <mergeCell ref="E85:E86"/>
    <mergeCell ref="F85:G86"/>
    <mergeCell ref="D89:D90"/>
    <mergeCell ref="I92:I93"/>
    <mergeCell ref="D98:D99"/>
    <mergeCell ref="E102:E103"/>
    <mergeCell ref="F102:G103"/>
    <mergeCell ref="D106:E107"/>
    <mergeCell ref="G108:G109"/>
    <mergeCell ref="G113:G114"/>
    <mergeCell ref="D121:E122"/>
    <mergeCell ref="E127:E128"/>
    <mergeCell ref="F127:G128"/>
    <mergeCell ref="D133:E13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13"/>
    <col customWidth="1" min="2" max="2" width="16.13"/>
    <col customWidth="1" min="3" max="3" width="23.5"/>
    <col customWidth="1" min="4" max="4" width="23.88"/>
    <col customWidth="1" min="5" max="26" width="10.0"/>
  </cols>
  <sheetData>
    <row r="1" ht="18.0" customHeight="1">
      <c r="B1" s="53" t="s">
        <v>33</v>
      </c>
      <c r="C1" s="53" t="s">
        <v>34</v>
      </c>
      <c r="D1" s="53" t="s">
        <v>34</v>
      </c>
    </row>
    <row r="2" ht="18.0" customHeight="1">
      <c r="B2" s="4"/>
      <c r="C2" s="4"/>
      <c r="D2" s="4"/>
    </row>
    <row r="3" ht="18.0" customHeight="1">
      <c r="B3" s="54" t="s">
        <v>1</v>
      </c>
      <c r="C3" s="55" t="s">
        <v>35</v>
      </c>
      <c r="D3" s="55" t="s">
        <v>36</v>
      </c>
    </row>
    <row r="4" ht="18.0" customHeight="1">
      <c r="B4" s="56" t="s">
        <v>23</v>
      </c>
      <c r="C4" s="55" t="s">
        <v>37</v>
      </c>
      <c r="D4" s="55" t="s">
        <v>38</v>
      </c>
    </row>
    <row r="5" ht="18.0" customHeight="1">
      <c r="B5" s="56" t="s">
        <v>20</v>
      </c>
      <c r="C5" s="57" t="s">
        <v>39</v>
      </c>
      <c r="D5" s="57" t="s">
        <v>40</v>
      </c>
    </row>
    <row r="6" ht="18.0" customHeight="1">
      <c r="B6" s="56" t="s">
        <v>28</v>
      </c>
      <c r="C6" s="57" t="s">
        <v>41</v>
      </c>
      <c r="D6" s="57" t="s">
        <v>42</v>
      </c>
    </row>
    <row r="7" ht="18.0" customHeight="1">
      <c r="B7" s="56" t="s">
        <v>6</v>
      </c>
      <c r="C7" s="57" t="s">
        <v>43</v>
      </c>
      <c r="D7" s="57" t="s">
        <v>44</v>
      </c>
    </row>
    <row r="8" ht="18.0" customHeight="1">
      <c r="B8" s="56" t="s">
        <v>14</v>
      </c>
      <c r="C8" s="57" t="s">
        <v>45</v>
      </c>
      <c r="D8" s="57" t="s">
        <v>46</v>
      </c>
    </row>
    <row r="9" ht="18.0" customHeight="1">
      <c r="B9" s="58" t="s">
        <v>5</v>
      </c>
      <c r="C9" s="57" t="s">
        <v>47</v>
      </c>
      <c r="D9" s="57" t="s">
        <v>48</v>
      </c>
    </row>
    <row r="10" ht="18.0" customHeight="1">
      <c r="B10" s="56" t="s">
        <v>13</v>
      </c>
      <c r="C10" s="57" t="s">
        <v>49</v>
      </c>
      <c r="D10" s="55" t="s">
        <v>50</v>
      </c>
    </row>
    <row r="11" ht="18.0" customHeight="1">
      <c r="B11" s="58" t="s">
        <v>24</v>
      </c>
      <c r="C11" s="57" t="s">
        <v>51</v>
      </c>
      <c r="D11" s="57" t="s">
        <v>52</v>
      </c>
    </row>
    <row r="12" ht="18.0" customHeight="1">
      <c r="B12" s="56" t="s">
        <v>8</v>
      </c>
      <c r="C12" s="57" t="s">
        <v>53</v>
      </c>
      <c r="D12" s="55" t="s">
        <v>54</v>
      </c>
    </row>
    <row r="13" ht="18.0" customHeight="1">
      <c r="B13" s="58" t="s">
        <v>19</v>
      </c>
      <c r="C13" s="55" t="s">
        <v>55</v>
      </c>
      <c r="D13" s="55" t="s">
        <v>56</v>
      </c>
    </row>
    <row r="14" ht="18.0" customHeight="1">
      <c r="B14" s="56" t="s">
        <v>21</v>
      </c>
      <c r="C14" s="57" t="s">
        <v>57</v>
      </c>
      <c r="D14" s="57" t="s">
        <v>58</v>
      </c>
    </row>
    <row r="15" ht="18.0" customHeight="1">
      <c r="B15" s="58" t="s">
        <v>9</v>
      </c>
      <c r="C15" s="57" t="s">
        <v>59</v>
      </c>
      <c r="D15" s="57" t="s">
        <v>60</v>
      </c>
    </row>
    <row r="16" ht="18.0" customHeight="1">
      <c r="B16" s="56" t="s">
        <v>22</v>
      </c>
      <c r="C16" s="57" t="s">
        <v>61</v>
      </c>
      <c r="D16" s="57" t="s">
        <v>62</v>
      </c>
    </row>
    <row r="17" ht="18.0" customHeight="1">
      <c r="B17" s="58" t="s">
        <v>12</v>
      </c>
      <c r="C17" s="57" t="s">
        <v>63</v>
      </c>
      <c r="D17" s="57" t="s">
        <v>64</v>
      </c>
    </row>
    <row r="18" ht="18.0" customHeight="1">
      <c r="B18" s="56" t="s">
        <v>7</v>
      </c>
      <c r="C18" s="57" t="s">
        <v>65</v>
      </c>
      <c r="D18" s="57" t="s">
        <v>66</v>
      </c>
    </row>
    <row r="19" ht="18.0" customHeight="1">
      <c r="B19" s="58" t="s">
        <v>15</v>
      </c>
      <c r="C19" s="57" t="s">
        <v>67</v>
      </c>
      <c r="D19" s="57" t="s">
        <v>68</v>
      </c>
    </row>
    <row r="20" ht="18.0" customHeight="1">
      <c r="B20" s="56" t="s">
        <v>4</v>
      </c>
      <c r="C20" s="55" t="s">
        <v>69</v>
      </c>
      <c r="D20" s="55" t="s">
        <v>70</v>
      </c>
    </row>
    <row r="21" ht="18.0" customHeight="1">
      <c r="B21" s="58" t="s">
        <v>27</v>
      </c>
      <c r="C21" s="55" t="s">
        <v>71</v>
      </c>
      <c r="D21" s="55" t="s">
        <v>72</v>
      </c>
    </row>
    <row r="22" ht="18.0" customHeight="1">
      <c r="B22" s="56" t="s">
        <v>25</v>
      </c>
      <c r="C22" s="55" t="s">
        <v>73</v>
      </c>
      <c r="D22" s="55" t="s">
        <v>74</v>
      </c>
    </row>
    <row r="23" ht="18.0" customHeight="1">
      <c r="B23" s="58" t="s">
        <v>2</v>
      </c>
      <c r="C23" s="55" t="s">
        <v>75</v>
      </c>
      <c r="D23" s="55" t="s">
        <v>76</v>
      </c>
    </row>
    <row r="24" ht="18.0" customHeight="1">
      <c r="B24" s="56" t="s">
        <v>18</v>
      </c>
      <c r="C24" s="57" t="s">
        <v>77</v>
      </c>
      <c r="D24" s="57" t="s">
        <v>78</v>
      </c>
    </row>
    <row r="25" ht="18.0" customHeight="1">
      <c r="B25" s="58" t="s">
        <v>3</v>
      </c>
      <c r="C25" s="57" t="s">
        <v>79</v>
      </c>
      <c r="D25" s="57" t="s">
        <v>80</v>
      </c>
    </row>
    <row r="26" ht="18.0" customHeight="1">
      <c r="B26" s="56" t="s">
        <v>10</v>
      </c>
      <c r="C26" s="57" t="s">
        <v>81</v>
      </c>
      <c r="D26" s="57" t="s">
        <v>82</v>
      </c>
    </row>
    <row r="27" ht="18.0" customHeight="1">
      <c r="B27" s="58" t="s">
        <v>26</v>
      </c>
      <c r="C27" s="57" t="s">
        <v>83</v>
      </c>
      <c r="D27" s="57" t="s">
        <v>84</v>
      </c>
    </row>
    <row r="28" ht="18.0" customHeight="1">
      <c r="B28" s="56" t="s">
        <v>11</v>
      </c>
      <c r="C28" s="55" t="s">
        <v>85</v>
      </c>
      <c r="D28" s="55" t="s">
        <v>86</v>
      </c>
    </row>
    <row r="29" ht="18.0" customHeight="1">
      <c r="B29" s="58" t="s">
        <v>17</v>
      </c>
      <c r="C29" s="55" t="s">
        <v>87</v>
      </c>
      <c r="D29" s="55" t="s">
        <v>88</v>
      </c>
    </row>
    <row r="30" ht="18.0" customHeight="1"/>
    <row r="31" ht="18.0" customHeight="1">
      <c r="B31" s="58" t="s">
        <v>31</v>
      </c>
    </row>
    <row r="32" ht="18.0" customHeight="1">
      <c r="B32" s="59" t="s">
        <v>89</v>
      </c>
    </row>
    <row r="33" ht="18.0" customHeight="1">
      <c r="B33" s="59" t="s">
        <v>90</v>
      </c>
    </row>
    <row r="34" ht="18.0" customHeight="1">
      <c r="B34" s="59" t="s">
        <v>91</v>
      </c>
    </row>
    <row r="35" ht="18.0" customHeight="1">
      <c r="B35" s="23"/>
    </row>
    <row r="36" ht="18.0" customHeight="1">
      <c r="B36" s="58" t="s">
        <v>92</v>
      </c>
    </row>
    <row r="37" ht="18.0" customHeight="1">
      <c r="B37" s="60" t="s">
        <v>93</v>
      </c>
      <c r="C37" s="61"/>
    </row>
    <row r="38" ht="18.0" customHeight="1">
      <c r="B38" s="60" t="s">
        <v>94</v>
      </c>
      <c r="C38" s="61"/>
    </row>
    <row r="39" ht="18.0" customHeight="1">
      <c r="B39" s="62" t="s">
        <v>95</v>
      </c>
      <c r="C39" s="61"/>
    </row>
    <row r="40" ht="18.0" customHeight="1">
      <c r="B40" s="62" t="s">
        <v>96</v>
      </c>
      <c r="C40" s="61"/>
    </row>
    <row r="41" ht="18.0" customHeight="1">
      <c r="B41" s="62" t="s">
        <v>97</v>
      </c>
      <c r="C41" s="61"/>
    </row>
    <row r="42" ht="18.0" customHeight="1">
      <c r="B42" s="62" t="s">
        <v>98</v>
      </c>
      <c r="C42" s="61"/>
    </row>
    <row r="43" ht="18.0" customHeight="1">
      <c r="B43" s="62" t="s">
        <v>99</v>
      </c>
      <c r="C43" s="61"/>
    </row>
    <row r="44" ht="18.0" customHeight="1">
      <c r="B44" s="62" t="s">
        <v>100</v>
      </c>
      <c r="C44" s="61"/>
    </row>
    <row r="45" ht="18.0" customHeight="1">
      <c r="B45" s="62" t="s">
        <v>101</v>
      </c>
      <c r="C45" s="61"/>
    </row>
    <row r="46" ht="18.0" customHeight="1">
      <c r="B46" s="62" t="s">
        <v>102</v>
      </c>
      <c r="C46" s="61"/>
    </row>
    <row r="47" ht="18.0" customHeight="1">
      <c r="B47" s="62" t="s">
        <v>103</v>
      </c>
      <c r="C47" s="61"/>
    </row>
    <row r="48" ht="18.0" customHeight="1">
      <c r="B48" s="62" t="s">
        <v>104</v>
      </c>
      <c r="C48" s="61"/>
    </row>
    <row r="49" ht="18.0" customHeight="1">
      <c r="B49" s="62" t="s">
        <v>105</v>
      </c>
      <c r="C49" s="61"/>
    </row>
    <row r="50" ht="18.0" customHeight="1">
      <c r="B50" s="62" t="s">
        <v>106</v>
      </c>
    </row>
    <row r="51" ht="18.0" customHeight="1">
      <c r="B51" s="62" t="s">
        <v>107</v>
      </c>
    </row>
    <row r="52" ht="18.0" customHeight="1">
      <c r="B52" s="62" t="s">
        <v>108</v>
      </c>
    </row>
    <row r="53" ht="18.0" customHeight="1">
      <c r="B53" s="62" t="s">
        <v>109</v>
      </c>
    </row>
    <row r="54" ht="18.0" customHeight="1">
      <c r="B54" s="62" t="s">
        <v>110</v>
      </c>
    </row>
    <row r="55" ht="18.0" customHeight="1">
      <c r="B55" s="62" t="s">
        <v>111</v>
      </c>
    </row>
    <row r="56" ht="18.0" customHeight="1">
      <c r="B56" s="62" t="s">
        <v>112</v>
      </c>
    </row>
    <row r="57" ht="18.0" customHeight="1">
      <c r="B57" s="62" t="s">
        <v>113</v>
      </c>
    </row>
    <row r="58" ht="18.0" customHeight="1">
      <c r="B58" s="62" t="s">
        <v>114</v>
      </c>
    </row>
    <row r="59" ht="18.0" customHeight="1">
      <c r="B59" s="62" t="s">
        <v>115</v>
      </c>
    </row>
    <row r="60" ht="18.0" customHeight="1">
      <c r="B60" s="62" t="s">
        <v>116</v>
      </c>
    </row>
    <row r="61" ht="18.0" customHeight="1">
      <c r="B61" s="62" t="s">
        <v>117</v>
      </c>
    </row>
    <row r="62" ht="18.0" customHeight="1">
      <c r="B62" s="62" t="s">
        <v>118</v>
      </c>
    </row>
    <row r="63" ht="18.0" customHeight="1">
      <c r="B63" s="62" t="s">
        <v>119</v>
      </c>
    </row>
    <row r="64" ht="18.0" customHeight="1">
      <c r="B64" s="62" t="s">
        <v>120</v>
      </c>
    </row>
    <row r="65" ht="18.0" customHeight="1">
      <c r="B65" s="62" t="s">
        <v>121</v>
      </c>
    </row>
    <row r="66" ht="18.0" customHeight="1">
      <c r="B66" s="62" t="s">
        <v>122</v>
      </c>
    </row>
    <row r="67" ht="18.0" customHeight="1">
      <c r="B67" s="62" t="s">
        <v>123</v>
      </c>
    </row>
    <row r="68" ht="18.0" customHeight="1">
      <c r="B68" s="62" t="s">
        <v>124</v>
      </c>
    </row>
    <row r="69" ht="18.0" customHeight="1">
      <c r="B69" s="62" t="s">
        <v>125</v>
      </c>
    </row>
    <row r="70" ht="18.0" customHeight="1">
      <c r="B70" s="62" t="s">
        <v>126</v>
      </c>
    </row>
    <row r="71" ht="18.0" customHeight="1">
      <c r="B71" s="62" t="s">
        <v>127</v>
      </c>
    </row>
    <row r="72" ht="18.0" customHeight="1">
      <c r="B72" s="62" t="s">
        <v>128</v>
      </c>
    </row>
    <row r="73" ht="18.0" customHeight="1">
      <c r="B73" s="62" t="s">
        <v>129</v>
      </c>
    </row>
    <row r="74" ht="18.0" customHeight="1">
      <c r="B74" s="62" t="s">
        <v>130</v>
      </c>
    </row>
    <row r="75" ht="18.0" customHeight="1">
      <c r="B75" s="62" t="s">
        <v>131</v>
      </c>
    </row>
    <row r="76" ht="18.0" customHeight="1">
      <c r="B76" s="62" t="s">
        <v>132</v>
      </c>
    </row>
    <row r="77" ht="18.0" customHeight="1">
      <c r="B77" s="62" t="s">
        <v>133</v>
      </c>
    </row>
    <row r="78" ht="18.0" customHeight="1">
      <c r="B78" s="62" t="s">
        <v>134</v>
      </c>
    </row>
    <row r="79" ht="18.0" customHeight="1">
      <c r="B79" s="62" t="s">
        <v>135</v>
      </c>
    </row>
    <row r="80" ht="18.0" customHeight="1">
      <c r="B80" s="62" t="s">
        <v>136</v>
      </c>
    </row>
    <row r="81" ht="18.0" customHeight="1">
      <c r="B81" s="62" t="s">
        <v>137</v>
      </c>
    </row>
    <row r="82" ht="18.0" customHeight="1">
      <c r="B82" s="62" t="s">
        <v>138</v>
      </c>
    </row>
    <row r="83" ht="18.0" customHeight="1">
      <c r="B83" s="62" t="s">
        <v>139</v>
      </c>
    </row>
    <row r="84" ht="18.0" customHeight="1">
      <c r="B84" s="62" t="s">
        <v>140</v>
      </c>
    </row>
    <row r="85" ht="18.0" customHeight="1">
      <c r="B85" s="62" t="s">
        <v>141</v>
      </c>
    </row>
    <row r="86" ht="18.0" customHeight="1">
      <c r="B86" s="62" t="s">
        <v>142</v>
      </c>
    </row>
    <row r="87" ht="18.0" customHeight="1">
      <c r="B87" s="62" t="s">
        <v>143</v>
      </c>
    </row>
    <row r="88" ht="18.0" customHeight="1">
      <c r="B88" s="62" t="s">
        <v>144</v>
      </c>
    </row>
    <row r="89" ht="18.0" customHeight="1">
      <c r="B89" s="62" t="s">
        <v>145</v>
      </c>
    </row>
    <row r="90" ht="18.0" customHeight="1">
      <c r="B90" s="62" t="s">
        <v>146</v>
      </c>
    </row>
    <row r="91" ht="18.0" customHeight="1">
      <c r="B91" s="62" t="s">
        <v>147</v>
      </c>
    </row>
    <row r="92" ht="18.0" customHeight="1">
      <c r="B92" s="62" t="s">
        <v>148</v>
      </c>
    </row>
    <row r="93" ht="18.0" customHeight="1">
      <c r="B93" s="62" t="s">
        <v>149</v>
      </c>
    </row>
    <row r="94" ht="18.0" customHeight="1">
      <c r="B94" s="62" t="s">
        <v>150</v>
      </c>
    </row>
    <row r="95" ht="18.0" customHeight="1">
      <c r="B95" s="62" t="s">
        <v>151</v>
      </c>
    </row>
    <row r="96" ht="18.0" customHeight="1">
      <c r="B96" s="62" t="s">
        <v>152</v>
      </c>
    </row>
    <row r="97" ht="18.0" customHeight="1">
      <c r="B97" s="62" t="s">
        <v>153</v>
      </c>
    </row>
    <row r="98" ht="18.0" customHeight="1">
      <c r="B98" s="62" t="s">
        <v>154</v>
      </c>
    </row>
    <row r="99" ht="18.0" customHeight="1">
      <c r="B99" s="62" t="s">
        <v>155</v>
      </c>
    </row>
    <row r="100" ht="18.0" customHeight="1">
      <c r="B100" s="62" t="s">
        <v>156</v>
      </c>
    </row>
    <row r="101" ht="18.0" customHeight="1">
      <c r="B101" s="62" t="s">
        <v>157</v>
      </c>
    </row>
    <row r="102" ht="18.0" customHeight="1">
      <c r="B102" s="62" t="s">
        <v>158</v>
      </c>
    </row>
    <row r="103" ht="18.0" customHeight="1">
      <c r="B103" s="62" t="s">
        <v>159</v>
      </c>
    </row>
    <row r="104" ht="18.0" customHeight="1">
      <c r="B104" s="62" t="s">
        <v>160</v>
      </c>
    </row>
    <row r="105" ht="18.0" customHeight="1">
      <c r="B105" s="62" t="s">
        <v>161</v>
      </c>
    </row>
    <row r="106" ht="18.0" customHeight="1">
      <c r="B106" s="62" t="s">
        <v>162</v>
      </c>
    </row>
    <row r="107" ht="18.0" customHeight="1">
      <c r="B107" s="62" t="s">
        <v>163</v>
      </c>
    </row>
    <row r="108" ht="18.0" customHeight="1">
      <c r="B108" s="62" t="s">
        <v>164</v>
      </c>
    </row>
    <row r="109" ht="18.0" customHeight="1">
      <c r="B109" s="62" t="s">
        <v>165</v>
      </c>
    </row>
    <row r="110" ht="18.0" customHeight="1">
      <c r="B110" s="62" t="s">
        <v>166</v>
      </c>
    </row>
    <row r="111" ht="18.0" customHeight="1">
      <c r="B111" s="62" t="s">
        <v>167</v>
      </c>
    </row>
    <row r="112" ht="18.0" customHeight="1">
      <c r="B112" s="62" t="s">
        <v>168</v>
      </c>
    </row>
    <row r="113" ht="18.0" customHeight="1">
      <c r="B113" s="62" t="s">
        <v>169</v>
      </c>
    </row>
    <row r="114" ht="18.0" customHeight="1">
      <c r="B114" s="62" t="s">
        <v>170</v>
      </c>
    </row>
    <row r="115" ht="18.0" customHeight="1">
      <c r="B115" s="62" t="s">
        <v>171</v>
      </c>
    </row>
    <row r="116" ht="18.0" customHeight="1">
      <c r="B116" s="62" t="s">
        <v>172</v>
      </c>
    </row>
    <row r="117" ht="18.0" customHeight="1">
      <c r="B117" s="62" t="s">
        <v>173</v>
      </c>
    </row>
    <row r="118" ht="18.0" customHeight="1">
      <c r="B118" s="62" t="s">
        <v>174</v>
      </c>
    </row>
    <row r="119" ht="18.0" customHeight="1">
      <c r="B119" s="62" t="s">
        <v>175</v>
      </c>
    </row>
    <row r="120" ht="18.0" customHeight="1">
      <c r="B120" s="62" t="s">
        <v>176</v>
      </c>
    </row>
    <row r="121" ht="18.0" customHeight="1">
      <c r="B121" s="62" t="s">
        <v>177</v>
      </c>
    </row>
    <row r="122" ht="18.0" customHeight="1">
      <c r="B122" s="62" t="s">
        <v>178</v>
      </c>
    </row>
    <row r="123" ht="18.0" customHeight="1">
      <c r="B123" s="62" t="s">
        <v>179</v>
      </c>
    </row>
    <row r="124" ht="18.0" customHeight="1">
      <c r="B124" s="62" t="s">
        <v>180</v>
      </c>
    </row>
    <row r="125" ht="18.0" customHeight="1">
      <c r="B125" s="62" t="s">
        <v>181</v>
      </c>
    </row>
    <row r="126" ht="18.0" customHeight="1">
      <c r="B126" s="62" t="s">
        <v>182</v>
      </c>
    </row>
    <row r="127" ht="18.0" customHeight="1">
      <c r="B127" s="62" t="s">
        <v>183</v>
      </c>
    </row>
    <row r="128" ht="18.0" customHeight="1">
      <c r="B128" s="62" t="s">
        <v>184</v>
      </c>
    </row>
    <row r="129" ht="18.0" customHeight="1">
      <c r="B129" s="62" t="s">
        <v>185</v>
      </c>
    </row>
    <row r="130" ht="18.0" customHeight="1">
      <c r="B130" s="62" t="s">
        <v>186</v>
      </c>
    </row>
    <row r="131" ht="18.0" customHeight="1">
      <c r="B131" s="62" t="s">
        <v>187</v>
      </c>
    </row>
    <row r="132" ht="18.0" customHeight="1">
      <c r="B132" s="62" t="s">
        <v>188</v>
      </c>
    </row>
    <row r="133" ht="18.0" customHeight="1">
      <c r="B133" s="62" t="s">
        <v>189</v>
      </c>
    </row>
    <row r="134" ht="18.0" customHeight="1">
      <c r="B134" s="62" t="s">
        <v>190</v>
      </c>
    </row>
    <row r="135" ht="18.0" customHeight="1">
      <c r="B135" s="62" t="s">
        <v>191</v>
      </c>
    </row>
    <row r="136" ht="18.0" customHeight="1">
      <c r="B136" s="62" t="s">
        <v>192</v>
      </c>
    </row>
    <row r="137" ht="18.0" customHeight="1">
      <c r="B137" s="62" t="s">
        <v>193</v>
      </c>
    </row>
    <row r="138" ht="18.0" customHeight="1">
      <c r="B138" s="62" t="s">
        <v>194</v>
      </c>
    </row>
    <row r="139" ht="18.0" customHeight="1">
      <c r="B139" s="62" t="s">
        <v>195</v>
      </c>
    </row>
    <row r="140" ht="18.0" customHeight="1">
      <c r="B140" s="62" t="s">
        <v>196</v>
      </c>
    </row>
    <row r="141" ht="18.0" customHeight="1">
      <c r="B141" s="62" t="s">
        <v>197</v>
      </c>
    </row>
    <row r="142" ht="18.0" customHeight="1">
      <c r="B142" s="62" t="s">
        <v>198</v>
      </c>
    </row>
    <row r="143" ht="18.0" customHeight="1">
      <c r="B143" s="62" t="s">
        <v>199</v>
      </c>
    </row>
    <row r="144" ht="18.0" customHeight="1">
      <c r="B144" s="62" t="s">
        <v>200</v>
      </c>
    </row>
    <row r="145" ht="18.0" customHeight="1">
      <c r="B145" s="62" t="s">
        <v>201</v>
      </c>
    </row>
    <row r="146" ht="18.0" customHeight="1">
      <c r="B146" s="62" t="s">
        <v>202</v>
      </c>
    </row>
    <row r="147" ht="18.0" customHeight="1">
      <c r="B147" s="62" t="s">
        <v>203</v>
      </c>
    </row>
    <row r="148" ht="18.0" customHeight="1">
      <c r="B148" s="62" t="s">
        <v>204</v>
      </c>
    </row>
    <row r="149" ht="18.0" customHeight="1">
      <c r="B149" s="62" t="s">
        <v>205</v>
      </c>
    </row>
    <row r="150" ht="18.0" customHeight="1">
      <c r="B150" s="62" t="s">
        <v>206</v>
      </c>
    </row>
    <row r="151" ht="18.0" customHeight="1">
      <c r="B151" s="62" t="s">
        <v>207</v>
      </c>
    </row>
    <row r="152" ht="18.0" customHeight="1">
      <c r="B152" s="62" t="s">
        <v>208</v>
      </c>
    </row>
    <row r="153" ht="18.0" customHeight="1">
      <c r="B153" s="62" t="s">
        <v>209</v>
      </c>
    </row>
    <row r="154" ht="18.0" customHeight="1">
      <c r="B154" s="62" t="s">
        <v>210</v>
      </c>
    </row>
    <row r="155" ht="18.0" customHeight="1">
      <c r="B155" s="62" t="s">
        <v>211</v>
      </c>
    </row>
    <row r="156" ht="18.0" customHeight="1">
      <c r="B156" s="62" t="s">
        <v>212</v>
      </c>
    </row>
    <row r="157" ht="18.0" customHeight="1">
      <c r="B157" s="62" t="s">
        <v>213</v>
      </c>
    </row>
    <row r="158" ht="18.0" customHeight="1">
      <c r="B158" s="62" t="s">
        <v>214</v>
      </c>
    </row>
    <row r="159" ht="18.0" customHeight="1">
      <c r="B159" s="62" t="s">
        <v>215</v>
      </c>
    </row>
    <row r="160" ht="18.0" customHeight="1">
      <c r="B160" s="62" t="s">
        <v>216</v>
      </c>
    </row>
    <row r="161" ht="18.0" customHeight="1">
      <c r="B161" s="62" t="s">
        <v>217</v>
      </c>
    </row>
    <row r="162" ht="18.0" customHeight="1">
      <c r="B162" s="62" t="s">
        <v>218</v>
      </c>
    </row>
    <row r="163" ht="18.0" customHeight="1">
      <c r="B163" s="62" t="s">
        <v>219</v>
      </c>
    </row>
    <row r="164" ht="18.0" customHeight="1">
      <c r="B164" s="62" t="s">
        <v>220</v>
      </c>
    </row>
    <row r="165" ht="18.0" customHeight="1">
      <c r="B165" s="62" t="s">
        <v>221</v>
      </c>
    </row>
    <row r="166" ht="18.0" customHeight="1">
      <c r="B166" s="62" t="s">
        <v>222</v>
      </c>
    </row>
    <row r="167" ht="18.0" customHeight="1">
      <c r="B167" s="62" t="s">
        <v>223</v>
      </c>
    </row>
    <row r="168" ht="18.0" customHeight="1">
      <c r="B168" s="62" t="s">
        <v>224</v>
      </c>
    </row>
    <row r="169" ht="18.0" customHeight="1">
      <c r="B169" s="62" t="s">
        <v>225</v>
      </c>
    </row>
    <row r="170" ht="18.0" customHeight="1">
      <c r="B170" s="62" t="s">
        <v>226</v>
      </c>
    </row>
    <row r="171" ht="18.0" customHeight="1">
      <c r="B171" s="62" t="s">
        <v>227</v>
      </c>
    </row>
    <row r="172" ht="18.0" customHeight="1">
      <c r="B172" s="62" t="s">
        <v>228</v>
      </c>
    </row>
    <row r="173" ht="18.0" customHeight="1">
      <c r="B173" s="62" t="s">
        <v>229</v>
      </c>
    </row>
    <row r="174" ht="18.0" customHeight="1">
      <c r="B174" s="62" t="s">
        <v>230</v>
      </c>
    </row>
    <row r="175" ht="18.0" customHeight="1">
      <c r="B175" s="62" t="s">
        <v>231</v>
      </c>
    </row>
    <row r="176" ht="18.0" customHeight="1">
      <c r="B176" s="62" t="s">
        <v>232</v>
      </c>
    </row>
    <row r="177" ht="18.0" customHeight="1">
      <c r="B177" s="62" t="s">
        <v>233</v>
      </c>
    </row>
    <row r="178" ht="18.0" customHeight="1">
      <c r="B178" s="62" t="s">
        <v>234</v>
      </c>
    </row>
    <row r="179" ht="18.0" customHeight="1">
      <c r="B179" s="62" t="s">
        <v>235</v>
      </c>
    </row>
    <row r="180" ht="18.0" customHeight="1">
      <c r="B180" s="62" t="s">
        <v>236</v>
      </c>
    </row>
    <row r="181" ht="18.0" customHeight="1">
      <c r="B181" s="62" t="s">
        <v>237</v>
      </c>
    </row>
    <row r="182" ht="18.0" customHeight="1">
      <c r="B182" s="62" t="s">
        <v>238</v>
      </c>
    </row>
    <row r="183" ht="18.0" customHeight="1">
      <c r="B183" s="62" t="s">
        <v>239</v>
      </c>
    </row>
    <row r="184" ht="18.0" customHeight="1">
      <c r="B184" s="62" t="s">
        <v>240</v>
      </c>
    </row>
    <row r="185" ht="18.0" customHeight="1">
      <c r="B185" s="62" t="s">
        <v>241</v>
      </c>
    </row>
    <row r="186" ht="18.0" customHeight="1">
      <c r="B186" s="62" t="s">
        <v>242</v>
      </c>
    </row>
    <row r="187" ht="18.0" customHeight="1">
      <c r="B187" s="62" t="s">
        <v>243</v>
      </c>
    </row>
    <row r="188" ht="18.0" customHeight="1">
      <c r="B188" s="62" t="s">
        <v>244</v>
      </c>
    </row>
    <row r="189" ht="18.0" customHeight="1">
      <c r="B189" s="62" t="s">
        <v>245</v>
      </c>
    </row>
    <row r="190" ht="18.0" customHeight="1">
      <c r="B190" s="62" t="s">
        <v>246</v>
      </c>
    </row>
    <row r="191" ht="18.0" customHeight="1">
      <c r="B191" s="62" t="s">
        <v>247</v>
      </c>
    </row>
    <row r="192" ht="18.0" customHeight="1">
      <c r="B192" s="62" t="s">
        <v>248</v>
      </c>
    </row>
    <row r="193" ht="18.0" customHeight="1">
      <c r="B193" s="62" t="s">
        <v>249</v>
      </c>
    </row>
    <row r="194" ht="18.0" customHeight="1">
      <c r="B194" s="62" t="s">
        <v>250</v>
      </c>
    </row>
    <row r="195" ht="18.0" customHeight="1">
      <c r="B195" s="62" t="s">
        <v>251</v>
      </c>
    </row>
    <row r="196" ht="18.0" customHeight="1">
      <c r="B196" s="62" t="s">
        <v>252</v>
      </c>
    </row>
    <row r="197" ht="18.0" customHeight="1">
      <c r="B197" s="62" t="s">
        <v>253</v>
      </c>
    </row>
    <row r="198" ht="18.0" customHeight="1">
      <c r="B198" s="62" t="s">
        <v>254</v>
      </c>
    </row>
    <row r="199" ht="18.0" customHeight="1">
      <c r="B199" s="62" t="s">
        <v>255</v>
      </c>
    </row>
    <row r="200" ht="18.0" customHeight="1">
      <c r="B200" s="62" t="s">
        <v>256</v>
      </c>
    </row>
    <row r="201" ht="18.0" customHeight="1">
      <c r="B201" s="62" t="s">
        <v>257</v>
      </c>
    </row>
    <row r="202" ht="18.0" customHeight="1">
      <c r="B202" s="62" t="s">
        <v>258</v>
      </c>
    </row>
    <row r="203" ht="18.0" customHeight="1">
      <c r="B203" s="62" t="s">
        <v>259</v>
      </c>
    </row>
    <row r="204" ht="18.0" customHeight="1">
      <c r="B204" s="62" t="s">
        <v>260</v>
      </c>
    </row>
    <row r="205" ht="18.0" customHeight="1">
      <c r="B205" s="62" t="s">
        <v>261</v>
      </c>
    </row>
    <row r="206" ht="18.0" customHeight="1">
      <c r="B206" s="62" t="s">
        <v>262</v>
      </c>
    </row>
    <row r="207" ht="18.0" customHeight="1">
      <c r="B207" s="62" t="s">
        <v>263</v>
      </c>
    </row>
    <row r="208" ht="18.0" customHeight="1">
      <c r="B208" s="62" t="s">
        <v>264</v>
      </c>
    </row>
    <row r="209" ht="18.0" customHeight="1">
      <c r="B209" s="62" t="s">
        <v>265</v>
      </c>
    </row>
    <row r="210" ht="18.0" customHeight="1">
      <c r="B210" s="62" t="s">
        <v>266</v>
      </c>
    </row>
    <row r="211" ht="18.0" customHeight="1">
      <c r="B211" s="62" t="s">
        <v>267</v>
      </c>
    </row>
    <row r="212" ht="18.0" customHeight="1">
      <c r="B212" s="62" t="s">
        <v>268</v>
      </c>
    </row>
    <row r="213" ht="18.0" customHeight="1">
      <c r="B213" s="62" t="s">
        <v>269</v>
      </c>
    </row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3">
    <mergeCell ref="B1:B2"/>
    <mergeCell ref="C1:C2"/>
    <mergeCell ref="D1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1999-09-10T13:05:23Z</dcterms:created>
  <dc:creator>SERVICIOS INTEGRADOS</dc:creator>
</cp:coreProperties>
</file>